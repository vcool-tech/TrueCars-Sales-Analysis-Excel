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MINULLAHI VCOOL\datasets\"/>
    </mc:Choice>
  </mc:AlternateContent>
  <xr:revisionPtr revIDLastSave="0" documentId="13_ncr:1_{09E21247-3F1A-442F-91E0-77FF9B178510}" xr6:coauthVersionLast="47" xr6:coauthVersionMax="47" xr10:uidLastSave="{00000000-0000-0000-0000-000000000000}"/>
  <bookViews>
    <workbookView xWindow="-120" yWindow="-120" windowWidth="20730" windowHeight="11160" activeTab="2" xr2:uid="{C0095D0D-FB0A-4C6B-A4C0-395C819FBF95}"/>
  </bookViews>
  <sheets>
    <sheet name="Calculations" sheetId="5" r:id="rId1"/>
    <sheet name="Dashboard" sheetId="6" r:id="rId2"/>
    <sheet name="used_cars_data_from_truecar_usa" sheetId="2" r:id="rId3"/>
  </sheets>
  <definedNames>
    <definedName name="avgprice">Calculations!$C$4</definedName>
    <definedName name="ExternalData_1" localSheetId="2" hidden="1">used_cars_data_from_truecar_usa!$A$1:$N$256</definedName>
    <definedName name="km">Calculations!$A$4</definedName>
    <definedName name="pricesum">Calculations!$B$4</definedName>
    <definedName name="Slicer_vehicle_transmission">#N/A</definedName>
    <definedName name="totalunit">Calculations!$D$4</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0B5FE8-9DB3-4A60-89F3-7F72E8D38AB1}" keepAlive="1" name="Query - used_cars_data_from_truecar_usa" description="Connection to the 'used_cars_data_from_truecar_usa' query in the workbook." type="5" refreshedVersion="8" background="1" saveData="1">
    <dbPr connection="Provider=Microsoft.Mashup.OleDb.1;Data Source=$Workbook$;Location=used_cars_data_from_truecar_usa;Extended Properties=&quot;&quot;" command="SELECT * FROM [used_cars_data_from_truecar_usa]"/>
  </connection>
</connections>
</file>

<file path=xl/sharedStrings.xml><?xml version="1.0" encoding="utf-8"?>
<sst xmlns="http://schemas.openxmlformats.org/spreadsheetml/2006/main" count="2628" uniqueCount="523">
  <si>
    <t>model</t>
  </si>
  <si>
    <t>price</t>
  </si>
  <si>
    <t>currency</t>
  </si>
  <si>
    <t>brand</t>
  </si>
  <si>
    <t>category</t>
  </si>
  <si>
    <t>fuel_type</t>
  </si>
  <si>
    <t>vehicle_transmission</t>
  </si>
  <si>
    <t>engine</t>
  </si>
  <si>
    <t>total_km_driven</t>
  </si>
  <si>
    <t>wheel_configuration</t>
  </si>
  <si>
    <t>source</t>
  </si>
  <si>
    <t>scraped_at</t>
  </si>
  <si>
    <t>2016 Jeep Grand Cherokee</t>
  </si>
  <si>
    <t>Grand Cherokee</t>
  </si>
  <si>
    <t>USD</t>
  </si>
  <si>
    <t>Jeep</t>
  </si>
  <si>
    <t>SUV</t>
  </si>
  <si>
    <t>Gas</t>
  </si>
  <si>
    <t>Automatic</t>
  </si>
  <si>
    <t>3.6L V-6 Gas</t>
  </si>
  <si>
    <t>4WD</t>
  </si>
  <si>
    <t>truecar</t>
  </si>
  <si>
    <t>2014 Ford F-150</t>
  </si>
  <si>
    <t>F-150</t>
  </si>
  <si>
    <t>Ford</t>
  </si>
  <si>
    <t>Pickup Truck</t>
  </si>
  <si>
    <t>6.2L V-8 Gas</t>
  </si>
  <si>
    <t>2019 Ram 1500</t>
  </si>
  <si>
    <t>1500</t>
  </si>
  <si>
    <t>Ram</t>
  </si>
  <si>
    <t>2020 Jeep Compass</t>
  </si>
  <si>
    <t>Compass</t>
  </si>
  <si>
    <t>2.4L Inline-4 Gas</t>
  </si>
  <si>
    <t>2015 Toyota Sequoia</t>
  </si>
  <si>
    <t>Sequoia</t>
  </si>
  <si>
    <t>Toyota</t>
  </si>
  <si>
    <t>5.7L V-8 Gas</t>
  </si>
  <si>
    <t>RWD</t>
  </si>
  <si>
    <t>2020 Tesla Model 3</t>
  </si>
  <si>
    <t>Model 3</t>
  </si>
  <si>
    <t>Tesla</t>
  </si>
  <si>
    <t>Sedan</t>
  </si>
  <si>
    <t>Electric</t>
  </si>
  <si>
    <t>L - Electric</t>
  </si>
  <si>
    <t>AWD</t>
  </si>
  <si>
    <t>2017 Ford F-150</t>
  </si>
  <si>
    <t>3.5L V-6 Gas Turbocharged</t>
  </si>
  <si>
    <t>2021 Volkswagen Arteon</t>
  </si>
  <si>
    <t>Arteon</t>
  </si>
  <si>
    <t>Volkswagen</t>
  </si>
  <si>
    <t>Hatchback</t>
  </si>
  <si>
    <t>2.0L Inline-4 Gas Turbocharged</t>
  </si>
  <si>
    <t>FWD</t>
  </si>
  <si>
    <t>2012 Chevrolet Equinox</t>
  </si>
  <si>
    <t>Equinox</t>
  </si>
  <si>
    <t>Chevrolet</t>
  </si>
  <si>
    <t>2019 Toyota Sequoia</t>
  </si>
  <si>
    <t>2020 Land Rover Range Rover Evoque</t>
  </si>
  <si>
    <t>Range Rover Evoque</t>
  </si>
  <si>
    <t>Land Rover</t>
  </si>
  <si>
    <t>2007 Porsche 911</t>
  </si>
  <si>
    <t>911</t>
  </si>
  <si>
    <t>Porsche</t>
  </si>
  <si>
    <t>Convertible</t>
  </si>
  <si>
    <t>Manual</t>
  </si>
  <si>
    <t>3.6L Flat-6 Gas</t>
  </si>
  <si>
    <t>2019 Toyota Sienna</t>
  </si>
  <si>
    <t>Sienna</t>
  </si>
  <si>
    <t>Minivan</t>
  </si>
  <si>
    <t>3.5L V-6 Gas</t>
  </si>
  <si>
    <t>2018 Hyundai Elantra</t>
  </si>
  <si>
    <t>Elantra</t>
  </si>
  <si>
    <t>Hyundai</t>
  </si>
  <si>
    <t>2.0L Inline-4 Gas</t>
  </si>
  <si>
    <t>2021 Nissan Murano</t>
  </si>
  <si>
    <t>Murano</t>
  </si>
  <si>
    <t>Nissan</t>
  </si>
  <si>
    <t>2015 Dodge Charger</t>
  </si>
  <si>
    <t>Charger</t>
  </si>
  <si>
    <t>Dodge</t>
  </si>
  <si>
    <t>2022 Volvo XC60</t>
  </si>
  <si>
    <t>XC60</t>
  </si>
  <si>
    <t>Volvo</t>
  </si>
  <si>
    <t>2019 BMW M5</t>
  </si>
  <si>
    <t>M5</t>
  </si>
  <si>
    <t>BMW</t>
  </si>
  <si>
    <t>4.4L V-8 Gas Turbocharged</t>
  </si>
  <si>
    <t>2010 Toyota FJ Cruiser</t>
  </si>
  <si>
    <t>FJ Cruiser</t>
  </si>
  <si>
    <t>4.0L V-6 Gas</t>
  </si>
  <si>
    <t>2014 Nissan Rogue</t>
  </si>
  <si>
    <t>Rogue</t>
  </si>
  <si>
    <t>2.5L Inline-4 Gas</t>
  </si>
  <si>
    <t>2019 Honda Passport</t>
  </si>
  <si>
    <t>Passport</t>
  </si>
  <si>
    <t>Honda</t>
  </si>
  <si>
    <t>2015 Chevrolet Colorado</t>
  </si>
  <si>
    <t>Colorado</t>
  </si>
  <si>
    <t>2014 Ram 1500</t>
  </si>
  <si>
    <t>2016 Chevrolet Trax</t>
  </si>
  <si>
    <t>Trax</t>
  </si>
  <si>
    <t>1.4L Inline-4 Gas Turbocharged</t>
  </si>
  <si>
    <t>2021 Chevrolet Silverado 2500HD</t>
  </si>
  <si>
    <t>Silverado 2500HD</t>
  </si>
  <si>
    <t>6.6L V-8 Gas</t>
  </si>
  <si>
    <t>2017 Nissan Rogue</t>
  </si>
  <si>
    <t>2019 Toyota Camry</t>
  </si>
  <si>
    <t>Camry</t>
  </si>
  <si>
    <t>2022 Subaru Ascent</t>
  </si>
  <si>
    <t>Ascent</t>
  </si>
  <si>
    <t>Subaru</t>
  </si>
  <si>
    <t>2.4L Flat-4 Gas Turbocharged</t>
  </si>
  <si>
    <t>2018 Jeep Renegade</t>
  </si>
  <si>
    <t>Renegade</t>
  </si>
  <si>
    <t>2.4L Inline-4 Gas Turbocharged</t>
  </si>
  <si>
    <t>2016 Honda Accord</t>
  </si>
  <si>
    <t>Accord</t>
  </si>
  <si>
    <t>2020 Cadillac XT6</t>
  </si>
  <si>
    <t>XT6</t>
  </si>
  <si>
    <t>Cadillac</t>
  </si>
  <si>
    <t>2016 Volkswagen CC</t>
  </si>
  <si>
    <t>CC</t>
  </si>
  <si>
    <t>2021 Jeep Gladiator</t>
  </si>
  <si>
    <t>Gladiator</t>
  </si>
  <si>
    <t>2020 Land Rover Discovery</t>
  </si>
  <si>
    <t>Discovery</t>
  </si>
  <si>
    <t>3.0L V-6 Gas Supercharged</t>
  </si>
  <si>
    <t>2020 Jeep Wrangler</t>
  </si>
  <si>
    <t>Wrangler</t>
  </si>
  <si>
    <t>2.0L V-4 Gas Turbocharged</t>
  </si>
  <si>
    <t>2018 Honda CR-V</t>
  </si>
  <si>
    <t>CR-V</t>
  </si>
  <si>
    <t>1.5L Inline-4 Gas Turbocharged</t>
  </si>
  <si>
    <t>2020 Ford Edge</t>
  </si>
  <si>
    <t>Edge</t>
  </si>
  <si>
    <t>2013 Chevrolet Tahoe</t>
  </si>
  <si>
    <t>Tahoe</t>
  </si>
  <si>
    <t>5.3L V-8 Gas</t>
  </si>
  <si>
    <t>2016 Honda CR-V</t>
  </si>
  <si>
    <t>2020 Audi RS Q8</t>
  </si>
  <si>
    <t>RS Q8</t>
  </si>
  <si>
    <t>Audi</t>
  </si>
  <si>
    <t>4.0L V-8 Gas Turbocharged</t>
  </si>
  <si>
    <t>2020 Honda Pilot</t>
  </si>
  <si>
    <t>Pilot</t>
  </si>
  <si>
    <t>2003 Mercury Grand Marquis</t>
  </si>
  <si>
    <t>Grand Marquis</t>
  </si>
  <si>
    <t>Mercury</t>
  </si>
  <si>
    <t>4.6L V-8 Gas</t>
  </si>
  <si>
    <t>2018 Ram 1500</t>
  </si>
  <si>
    <t>2021 Volkswagen Golf GTI</t>
  </si>
  <si>
    <t>Golf GTI</t>
  </si>
  <si>
    <t>2018 Mercedes-Benz GLC</t>
  </si>
  <si>
    <t>GLC</t>
  </si>
  <si>
    <t>Mercedes-Benz</t>
  </si>
  <si>
    <t>3.0L V-6 Gas Turbocharged</t>
  </si>
  <si>
    <t>2021 Nissan Altima</t>
  </si>
  <si>
    <t>Altima</t>
  </si>
  <si>
    <t>2019 Ford Super Duty F-350</t>
  </si>
  <si>
    <t>Super Duty F-350</t>
  </si>
  <si>
    <t>Diesel</t>
  </si>
  <si>
    <t>6.7L V-8 Diesel Turbocharged</t>
  </si>
  <si>
    <t>2018 Toyota RAV4</t>
  </si>
  <si>
    <t>RAV4</t>
  </si>
  <si>
    <t>2013 Chevrolet Silverado 3500HD</t>
  </si>
  <si>
    <t>Silverado 3500HD</t>
  </si>
  <si>
    <t>6.6L V-8 Diesel Turbocharged</t>
  </si>
  <si>
    <t>2019 Ford Explorer</t>
  </si>
  <si>
    <t>Explorer</t>
  </si>
  <si>
    <t>2.3L V-4 Gas Turbocharged</t>
  </si>
  <si>
    <t>2018 Nissan Rogue Sport</t>
  </si>
  <si>
    <t>Rogue Sport</t>
  </si>
  <si>
    <t>2020 GMC Savana Cargo Van</t>
  </si>
  <si>
    <t>Savana Cargo Van</t>
  </si>
  <si>
    <t>GMC</t>
  </si>
  <si>
    <t>Cargo Van</t>
  </si>
  <si>
    <t>6.0L V-8 Gas</t>
  </si>
  <si>
    <t>2021 Alfa Romeo Stelvio</t>
  </si>
  <si>
    <t>Stelvio</t>
  </si>
  <si>
    <t>Alfa Romeo</t>
  </si>
  <si>
    <t>2015 BMW X3</t>
  </si>
  <si>
    <t>X3</t>
  </si>
  <si>
    <t>3.0L Inline-6 Gas Turbocharged</t>
  </si>
  <si>
    <t>2005 Honda Element</t>
  </si>
  <si>
    <t>Element</t>
  </si>
  <si>
    <t>2017 Kia Sorento</t>
  </si>
  <si>
    <t>Sorento</t>
  </si>
  <si>
    <t>Kia</t>
  </si>
  <si>
    <t>2020 Ford Explorer</t>
  </si>
  <si>
    <t>2.3L Inline-4 Gas Turbocharged</t>
  </si>
  <si>
    <t>2010 Ferrari California</t>
  </si>
  <si>
    <t>California</t>
  </si>
  <si>
    <t>Ferrari</t>
  </si>
  <si>
    <t>4.3L V-8 Gas</t>
  </si>
  <si>
    <t>2013 Toyota RAV4</t>
  </si>
  <si>
    <t>2021 Nissan Rogue</t>
  </si>
  <si>
    <t>2015 BMW 3 Series</t>
  </si>
  <si>
    <t>3 Series</t>
  </si>
  <si>
    <t>2021 Toyota Camry</t>
  </si>
  <si>
    <t>2020 Volvo XC90</t>
  </si>
  <si>
    <t>XC90</t>
  </si>
  <si>
    <t>2.0L Inline-4 Gas Supercharged and Turbocharged</t>
  </si>
  <si>
    <t>2014 Acura RLX</t>
  </si>
  <si>
    <t>RLX</t>
  </si>
  <si>
    <t>Acura</t>
  </si>
  <si>
    <t>2019 Jeep Wrangler</t>
  </si>
  <si>
    <t>2021 Volkswagen Tiguan</t>
  </si>
  <si>
    <t>Tiguan</t>
  </si>
  <si>
    <t>2018 Buick Encore</t>
  </si>
  <si>
    <t>Encore</t>
  </si>
  <si>
    <t>Buick</t>
  </si>
  <si>
    <t>2019 Dodge Grand Caravan</t>
  </si>
  <si>
    <t>Grand Caravan</t>
  </si>
  <si>
    <t>2018 Ford F-150</t>
  </si>
  <si>
    <t>2021 Ram 1500</t>
  </si>
  <si>
    <t>2015 Land Rover LR4</t>
  </si>
  <si>
    <t>LR4</t>
  </si>
  <si>
    <t>2017 GMC Acadia</t>
  </si>
  <si>
    <t>Acadia</t>
  </si>
  <si>
    <t>2019 INFINITI Q50</t>
  </si>
  <si>
    <t>Q50</t>
  </si>
  <si>
    <t>INFINITI</t>
  </si>
  <si>
    <t>2019 Nissan Rogue Sport</t>
  </si>
  <si>
    <t>2010 BMW 3 Series</t>
  </si>
  <si>
    <t>3.0L Inline-6 Diesel Turbocharged</t>
  </si>
  <si>
    <t>2021 Kia Stinger</t>
  </si>
  <si>
    <t>Stinger</t>
  </si>
  <si>
    <t>2017 Hyundai Elantra</t>
  </si>
  <si>
    <t>2012 Nissan Titan</t>
  </si>
  <si>
    <t>Titan</t>
  </si>
  <si>
    <t>5.6L V-8 Gas</t>
  </si>
  <si>
    <t>2017 Chrysler Pacifica</t>
  </si>
  <si>
    <t>Pacifica</t>
  </si>
  <si>
    <t>Chrysler</t>
  </si>
  <si>
    <t>2022 Toyota 4Runner</t>
  </si>
  <si>
    <t>4Runner</t>
  </si>
  <si>
    <t>2018 Jeep Compass</t>
  </si>
  <si>
    <t>2019 Kia Optima</t>
  </si>
  <si>
    <t>Optima</t>
  </si>
  <si>
    <t>2016 Kia Sedona</t>
  </si>
  <si>
    <t>Sedona</t>
  </si>
  <si>
    <t>3.3L V-6 Gas</t>
  </si>
  <si>
    <t>2020 Toyota Tacoma</t>
  </si>
  <si>
    <t>Tacoma</t>
  </si>
  <si>
    <t>2015 Chevrolet Silverado 1500</t>
  </si>
  <si>
    <t>Silverado 1500</t>
  </si>
  <si>
    <t>2019 Nissan Altima</t>
  </si>
  <si>
    <t>2021 Ram 3500</t>
  </si>
  <si>
    <t>3500</t>
  </si>
  <si>
    <t>6.7L V-6 Diesel Turbocharged</t>
  </si>
  <si>
    <t>2021 Chevrolet Traverse</t>
  </si>
  <si>
    <t>Traverse</t>
  </si>
  <si>
    <t>2021 Mercedes-Benz G-Class</t>
  </si>
  <si>
    <t>G-Class</t>
  </si>
  <si>
    <t>2021 BMW 3 Series</t>
  </si>
  <si>
    <t>2022 Honda Civic</t>
  </si>
  <si>
    <t>Civic</t>
  </si>
  <si>
    <t>2015 Buick Enclave</t>
  </si>
  <si>
    <t>Enclave</t>
  </si>
  <si>
    <t>2018 Ford Edge</t>
  </si>
  <si>
    <t>2020 Toyota RAV4</t>
  </si>
  <si>
    <t>2018 Volkswagen Jetta</t>
  </si>
  <si>
    <t>Jetta</t>
  </si>
  <si>
    <t>2019 Honda Pilot</t>
  </si>
  <si>
    <t>2016 GMC Acadia</t>
  </si>
  <si>
    <t>2011 Chevrolet Tahoe</t>
  </si>
  <si>
    <t>2015 Ford F-150</t>
  </si>
  <si>
    <t>2.7L V-6 Gas Turbocharged</t>
  </si>
  <si>
    <t>2017 Buick Envision</t>
  </si>
  <si>
    <t>Envision</t>
  </si>
  <si>
    <t>2019 Jeep Grand Cherokee</t>
  </si>
  <si>
    <t>2020 Acura ILX</t>
  </si>
  <si>
    <t>ILX</t>
  </si>
  <si>
    <t>2021 Honda Civic</t>
  </si>
  <si>
    <t>2012 Nissan Murano</t>
  </si>
  <si>
    <t>2017 GMC Acadia Limited</t>
  </si>
  <si>
    <t>Acadia Limited</t>
  </si>
  <si>
    <t>5.0L V-8 Gas</t>
  </si>
  <si>
    <t>2017 Ram 1500</t>
  </si>
  <si>
    <t>2018 Ford Expedition</t>
  </si>
  <si>
    <t>Expedition</t>
  </si>
  <si>
    <t>2020 Lincoln Continental</t>
  </si>
  <si>
    <t>Continental</t>
  </si>
  <si>
    <t>Lincoln</t>
  </si>
  <si>
    <t>2019 Mercedes-Benz GLA</t>
  </si>
  <si>
    <t>GLA</t>
  </si>
  <si>
    <t>2018 Chrysler 300</t>
  </si>
  <si>
    <t>300</t>
  </si>
  <si>
    <t>2021 Ford Mustang</t>
  </si>
  <si>
    <t>Mustang</t>
  </si>
  <si>
    <t>Coupe</t>
  </si>
  <si>
    <t>2017 Chevrolet Equinox</t>
  </si>
  <si>
    <t>2017 Hyundai Santa Fe Sport</t>
  </si>
  <si>
    <t>Santa Fe Sport</t>
  </si>
  <si>
    <t>2020 Chevrolet Trax</t>
  </si>
  <si>
    <t>2017 Ford Explorer</t>
  </si>
  <si>
    <t>2021 Mazda CX-9</t>
  </si>
  <si>
    <t>CX-9</t>
  </si>
  <si>
    <t>Mazda</t>
  </si>
  <si>
    <t>2.5L Inline-4 Gas Turbocharged</t>
  </si>
  <si>
    <t>2019 Ford Fusion</t>
  </si>
  <si>
    <t>Fusion</t>
  </si>
  <si>
    <t>2019 Toyota Tacoma</t>
  </si>
  <si>
    <t>2019 GMC Yukon</t>
  </si>
  <si>
    <t>Yukon</t>
  </si>
  <si>
    <t>2008 Cadillac DTS</t>
  </si>
  <si>
    <t>DTS</t>
  </si>
  <si>
    <t>2019 Mercedes-Benz GLS</t>
  </si>
  <si>
    <t>GLS</t>
  </si>
  <si>
    <t>2014 Chevrolet Silverado 1500</t>
  </si>
  <si>
    <t>2021 Toyota Highlander</t>
  </si>
  <si>
    <t>Highlander</t>
  </si>
  <si>
    <t>2018 Chevrolet Malibu</t>
  </si>
  <si>
    <t>Malibu</t>
  </si>
  <si>
    <t>2019 Ram 2500</t>
  </si>
  <si>
    <t>2500</t>
  </si>
  <si>
    <t>2019 Kia Stinger</t>
  </si>
  <si>
    <t>3.3L V-6 Gas Turbocharged</t>
  </si>
  <si>
    <t>2016 GMC Sierra 1500</t>
  </si>
  <si>
    <t>Sierra 1500</t>
  </si>
  <si>
    <t>2019 Jeep Cherokee</t>
  </si>
  <si>
    <t>Cherokee</t>
  </si>
  <si>
    <t>2020 INFINITI QX60</t>
  </si>
  <si>
    <t>QX60</t>
  </si>
  <si>
    <t>2016 Ford F-150</t>
  </si>
  <si>
    <t>2017 INFINITI QX80</t>
  </si>
  <si>
    <t>QX80</t>
  </si>
  <si>
    <t>2018 Lexus GX</t>
  </si>
  <si>
    <t>GX</t>
  </si>
  <si>
    <t>Lexus</t>
  </si>
  <si>
    <t>2020 Ford F-150</t>
  </si>
  <si>
    <t>5.0L V-8 Gas Twin-Turbo</t>
  </si>
  <si>
    <t>2013 Nissan Maxima</t>
  </si>
  <si>
    <t>Maxima</t>
  </si>
  <si>
    <t>2011 Ford Super Duty F-350</t>
  </si>
  <si>
    <t>2019 INFINITI Q60</t>
  </si>
  <si>
    <t>Q60</t>
  </si>
  <si>
    <t>2018 Chevrolet Silverado 2500HD</t>
  </si>
  <si>
    <t>2015 Chevrolet Equinox</t>
  </si>
  <si>
    <t>2020 Toyota Corolla</t>
  </si>
  <si>
    <t>Corolla</t>
  </si>
  <si>
    <t>1.8L Inline-4 Gas</t>
  </si>
  <si>
    <t>2020 Lincoln Corsair</t>
  </si>
  <si>
    <t>Corsair</t>
  </si>
  <si>
    <t>2020 Cadillac XT5</t>
  </si>
  <si>
    <t>XT5</t>
  </si>
  <si>
    <t>3.6L V-6 Gas Turbocharged</t>
  </si>
  <si>
    <t>2013 Chevrolet Camaro</t>
  </si>
  <si>
    <t>Camaro</t>
  </si>
  <si>
    <t>2019 Honda Civic</t>
  </si>
  <si>
    <t>2022 Chevrolet Silverado 1500 LTD</t>
  </si>
  <si>
    <t>Silverado 1500 LTD</t>
  </si>
  <si>
    <t>5.3L Inline-8 Gas Turbocharged</t>
  </si>
  <si>
    <t>2020 Hyundai Kona</t>
  </si>
  <si>
    <t>Kona</t>
  </si>
  <si>
    <t>2014 Kia Optima</t>
  </si>
  <si>
    <t>Hybrid</t>
  </si>
  <si>
    <t>2.4L Inline-4 Hybrid</t>
  </si>
  <si>
    <t>2016 Ram 3500</t>
  </si>
  <si>
    <t>2021 Land Rover Range Rover</t>
  </si>
  <si>
    <t>Range Rover</t>
  </si>
  <si>
    <t>3.0L Inline-6 Gas Supercharged and Turbocharged</t>
  </si>
  <si>
    <t>2017 Honda Pilot</t>
  </si>
  <si>
    <t>2019 Mazda CX-5</t>
  </si>
  <si>
    <t>CX-5</t>
  </si>
  <si>
    <t>2020 Toyota Camry</t>
  </si>
  <si>
    <t>2019 Hyundai Kona</t>
  </si>
  <si>
    <t>2022 Mercedes-Benz GLB</t>
  </si>
  <si>
    <t>GLB</t>
  </si>
  <si>
    <t>2020 GMC Sierra 1500</t>
  </si>
  <si>
    <t>2013 Mercedes-Benz GL</t>
  </si>
  <si>
    <t>GL</t>
  </si>
  <si>
    <t>4.7L V-8 Gas Turbocharged</t>
  </si>
  <si>
    <t>2011 Chevrolet Silverado 1500</t>
  </si>
  <si>
    <t>2019 Nissan Rogue</t>
  </si>
  <si>
    <t>2018 Nissan Murano</t>
  </si>
  <si>
    <t>2021 Subaru Impreza</t>
  </si>
  <si>
    <t>Impreza</t>
  </si>
  <si>
    <t>2.0L Flat-4 Gas</t>
  </si>
  <si>
    <t>2019 Ram 1500 Classic</t>
  </si>
  <si>
    <t>1500 Classic</t>
  </si>
  <si>
    <t>2011 Mazda Mazda3</t>
  </si>
  <si>
    <t>Mazda3</t>
  </si>
  <si>
    <t>2013 Hyundai Sonata</t>
  </si>
  <si>
    <t>Sonata</t>
  </si>
  <si>
    <t>2019 Lincoln Nautilus</t>
  </si>
  <si>
    <t>Nautilus</t>
  </si>
  <si>
    <t>2005 Toyota Camry</t>
  </si>
  <si>
    <t>3.0L V-6 Gas</t>
  </si>
  <si>
    <t>2019 Lincoln MKZ</t>
  </si>
  <si>
    <t>MKZ</t>
  </si>
  <si>
    <t>2017 Kia Forte</t>
  </si>
  <si>
    <t>Forte</t>
  </si>
  <si>
    <t>2021 Volkswagen Atlas</t>
  </si>
  <si>
    <t>Atlas</t>
  </si>
  <si>
    <t>2016 Maserati GranTurismo</t>
  </si>
  <si>
    <t>GranTurismo</t>
  </si>
  <si>
    <t>Maserati</t>
  </si>
  <si>
    <t>4.7L V-8 Gas</t>
  </si>
  <si>
    <t>2018 Lexus GS</t>
  </si>
  <si>
    <t>GS</t>
  </si>
  <si>
    <t>2018 Chevrolet Colorado</t>
  </si>
  <si>
    <t>2.8L V-4 Diesel Turbocharged</t>
  </si>
  <si>
    <t>2013 Chevrolet Silverado 2500HD</t>
  </si>
  <si>
    <t>2004 Nissan Titan</t>
  </si>
  <si>
    <t>2017 Chevrolet Cruze</t>
  </si>
  <si>
    <t>Cruze</t>
  </si>
  <si>
    <t>2014 Chrysler 200</t>
  </si>
  <si>
    <t>200</t>
  </si>
  <si>
    <t>2019 Porsche Cayenne</t>
  </si>
  <si>
    <t>Cayenne</t>
  </si>
  <si>
    <t>2.9L V-6 Gas Turbocharged</t>
  </si>
  <si>
    <t>2013 Ford Edge</t>
  </si>
  <si>
    <t>2014 Kia Sorento</t>
  </si>
  <si>
    <t>2004 Jeep Liberty</t>
  </si>
  <si>
    <t>Liberty</t>
  </si>
  <si>
    <t>3.7L V-6 Gas</t>
  </si>
  <si>
    <t>2005 GMC Sierra 3500</t>
  </si>
  <si>
    <t>Sierra 3500</t>
  </si>
  <si>
    <t>8.1L V-8 Gas</t>
  </si>
  <si>
    <t>2019 Jeep Renegade</t>
  </si>
  <si>
    <t>1.3L Inline-4 Gas Turbocharged</t>
  </si>
  <si>
    <t>2014 Cadillac CTS</t>
  </si>
  <si>
    <t>CTS</t>
  </si>
  <si>
    <t>2019 Ford Edge</t>
  </si>
  <si>
    <t>2019 GMC Sierra 1500</t>
  </si>
  <si>
    <t>2019 Dodge Charger</t>
  </si>
  <si>
    <t>6.4L V-8 Gas</t>
  </si>
  <si>
    <t>2018 Volkswagen Atlas</t>
  </si>
  <si>
    <t>2021 GMC Acadia</t>
  </si>
  <si>
    <t>2018 Audi Q7</t>
  </si>
  <si>
    <t>Q7</t>
  </si>
  <si>
    <t>2011 Cadillac CTS-V</t>
  </si>
  <si>
    <t>CTS-V</t>
  </si>
  <si>
    <t>6.2L V-8 Gas Supercharged</t>
  </si>
  <si>
    <t>2020 Chevrolet Blazer</t>
  </si>
  <si>
    <t>Blazer</t>
  </si>
  <si>
    <t>2019 Jaguar XE</t>
  </si>
  <si>
    <t>XE</t>
  </si>
  <si>
    <t>Jaguar</t>
  </si>
  <si>
    <t>2020 Chevrolet Malibu</t>
  </si>
  <si>
    <t>2016 Audi S3</t>
  </si>
  <si>
    <t>S3</t>
  </si>
  <si>
    <t>2019 Chevrolet Malibu</t>
  </si>
  <si>
    <t>2010 INFINITI G</t>
  </si>
  <si>
    <t>G</t>
  </si>
  <si>
    <t>2014 Chevrolet Equinox</t>
  </si>
  <si>
    <t>2019 Ford F-150</t>
  </si>
  <si>
    <t>2020 Volkswagen Tiguan</t>
  </si>
  <si>
    <t>2016 Nissan Versa</t>
  </si>
  <si>
    <t>Versa</t>
  </si>
  <si>
    <t>1.6L Inline-4 Gas</t>
  </si>
  <si>
    <t>2019 Toyota Corolla</t>
  </si>
  <si>
    <t>2021 Hyundai Kona</t>
  </si>
  <si>
    <t>2015 Mercedes-Benz GLA</t>
  </si>
  <si>
    <t>2011 Chevrolet Corvette</t>
  </si>
  <si>
    <t>Corvette</t>
  </si>
  <si>
    <t>2019 Kia Sportage</t>
  </si>
  <si>
    <t>Sportage</t>
  </si>
  <si>
    <t>2011 Mercedes-Benz C-Class</t>
  </si>
  <si>
    <t>C-Class</t>
  </si>
  <si>
    <t>2020 GMC Canyon</t>
  </si>
  <si>
    <t>Canyon</t>
  </si>
  <si>
    <t>2020 Ford Expedition</t>
  </si>
  <si>
    <t>2021 Chevrolet Express Cargo Van</t>
  </si>
  <si>
    <t>Express Cargo Van</t>
  </si>
  <si>
    <t>4.3L V-6 Gas</t>
  </si>
  <si>
    <t>2018 Jeep Wrangler</t>
  </si>
  <si>
    <t>2018 Nissan Rogue</t>
  </si>
  <si>
    <t>2015 Chrysler Town &amp; Country</t>
  </si>
  <si>
    <t>Town &amp; Country</t>
  </si>
  <si>
    <t>2012 Ford F-150</t>
  </si>
  <si>
    <t>2019 Mercedes-Benz CLS</t>
  </si>
  <si>
    <t>CLS</t>
  </si>
  <si>
    <t>2017 Audi A4</t>
  </si>
  <si>
    <t>A4</t>
  </si>
  <si>
    <t>2018 Mercedes-Benz GLA</t>
  </si>
  <si>
    <t>2019 Chrysler Pacifica</t>
  </si>
  <si>
    <t>2020 Cadillac CT6</t>
  </si>
  <si>
    <t>CT6</t>
  </si>
  <si>
    <t>2020 Nissan Rogue</t>
  </si>
  <si>
    <t>2021 Jeep Wrangler</t>
  </si>
  <si>
    <t>2014 Lexus ES</t>
  </si>
  <si>
    <t>ES</t>
  </si>
  <si>
    <t>2017 Toyota Tundra</t>
  </si>
  <si>
    <t>Tundra</t>
  </si>
  <si>
    <t>2019 Jaguar F-TYPE</t>
  </si>
  <si>
    <t>F-TYPE</t>
  </si>
  <si>
    <t>2017 Porsche Cayenne</t>
  </si>
  <si>
    <t>2021 Mazda CX-5</t>
  </si>
  <si>
    <t>2021 Toyota Tundra</t>
  </si>
  <si>
    <t>2020 Kia Optima</t>
  </si>
  <si>
    <t>2016 Audi Q3</t>
  </si>
  <si>
    <t>Q3</t>
  </si>
  <si>
    <t>2016 BMW X3</t>
  </si>
  <si>
    <t>2022 Hyundai Santa Fe</t>
  </si>
  <si>
    <t>Santa Fe</t>
  </si>
  <si>
    <t>2012 Toyota Camry</t>
  </si>
  <si>
    <t>2021 Subaru Forester</t>
  </si>
  <si>
    <t>Forester</t>
  </si>
  <si>
    <t>2.5L Flat-4 Gas</t>
  </si>
  <si>
    <t>2018 Ram ProMaster Cargo Van</t>
  </si>
  <si>
    <t>ProMaster Cargo Van</t>
  </si>
  <si>
    <t>2015 Ford Expedition</t>
  </si>
  <si>
    <t>2017 Ford Edge</t>
  </si>
  <si>
    <t>2020 Ram 1500</t>
  </si>
  <si>
    <t>Title</t>
  </si>
  <si>
    <t>Sum of price</t>
  </si>
  <si>
    <t>Row Labels</t>
  </si>
  <si>
    <t>Grand Total</t>
  </si>
  <si>
    <t>Year</t>
  </si>
  <si>
    <t>Count of model</t>
  </si>
  <si>
    <t>UNITS SOLD BY TRANSMISSION</t>
  </si>
  <si>
    <t>Avgr selling price</t>
  </si>
  <si>
    <t>Total units sold</t>
  </si>
  <si>
    <t>Total KM driven</t>
  </si>
  <si>
    <t>PRICE TREND ACROSS YEARS</t>
  </si>
  <si>
    <t>UNITS SOLD BY VEHICLE TYPE</t>
  </si>
  <si>
    <t>PERFM BY VEHICLE TYPE</t>
  </si>
  <si>
    <t>UNITS SOLD BY WHEEL</t>
  </si>
  <si>
    <t>TOP BRAND</t>
  </si>
  <si>
    <t>UNITS SOLD BY FUEL TYPE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</si>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</sst>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gt;=1000000]&quot;$&quot;0.0,&quot;M&quot;;[&gt;=1000]&quot;$&quot;0.0,&quot;K&quot;;0"/>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44975C"/>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3" borderId="0" xfId="0" applyFill="1"/>
    <xf numFmtId="0" fontId="0" fillId="2" borderId="0" xfId="0" applyFill="1" applyAlignment="1">
      <alignment horizontal="center"/>
    </xf>
  </cellXfs>
  <cellStyles count="2">
    <cellStyle name="Currency" xfId="1" builtinId="4"/>
    <cellStyle name="Normal" xfId="0" builtinId="0"/>
  </cellStyles>
  <dxfs count="100">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fill>
        <patternFill>
          <bgColor rgb="FF07274E"/>
        </patternFill>
      </fill>
    </dxf>
    <dxf>
      <numFmt numFmtId="165" formatCode="[&gt;=1000000]&quot;$&quot;0.0,&quot;M&quot;;[&gt;=1000]&quot;$&quot;0.0,&quot;K&quot;;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s>
  <tableStyles count="1" defaultTableStyle="TableStyleMedium2" defaultPivotStyle="PivotStyleLight16">
    <tableStyle name="Slicer Style 1" pivot="0" table="0" count="2" xr9:uid="{DB592D53-693B-4A03-ADF9-5527989FD139}">
      <tableStyleElement type="wholeTable" dxfId="79"/>
    </tableStyle>
  </tableStyles>
  <colors>
    <mruColors>
      <color rgb="FF07274E"/>
      <color rgb="FF00374B"/>
      <color rgb="FF57FFDF"/>
      <color rgb="FFFFFFFF"/>
      <color rgb="FF1B9279"/>
      <color rgb="FF1CA86C"/>
      <color rgb="FF44975C"/>
      <color rgb="FFF2F8F9"/>
      <color rgb="FF228670"/>
      <color rgb="FF0F4956"/>
    </mruColors>
  </colors>
  <extLst>
    <ext xmlns:x14="http://schemas.microsoft.com/office/spreadsheetml/2009/9/main" uri="{46F421CA-312F-682f-3DD2-61675219B42D}">
      <x14:dxfs count="1">
        <dxf>
          <fill>
            <patternFill>
              <bgColor rgb="FF57FFD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[Truecars.xlsx]Calculations!PivotTable10</c:name>
    <c:fmtId val="4"/>
  </c:pivotSource>
  <c:chart>
    <c:autoTitleDeleted val="1"/>
    <c:pivotFmts>
      <c:pivotFmt>
        <c:idx val="0"/>
        <c:spPr>
          <a:solidFill>
            <a:srgbClr val="449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9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9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Calculations!$B$8</c:f>
              <c:strCache>
                <c:ptCount val="1"/>
                <c:pt idx="0">
                  <c:v>Total</c:v>
                </c:pt>
              </c:strCache>
            </c:strRef>
          </c:tx>
          <c:spPr>
            <a:solidFill>
              <a:srgbClr val="44975C"/>
            </a:solidFill>
            <a:ln>
              <a:noFill/>
            </a:ln>
            <a:effectLst/>
          </c:spPr>
          <c:invertIfNegative val="0"/>
          <c:cat>
            <c:strRef>
              <c:f>Calculations!$A$9:$A$27</c:f>
              <c:strCache>
                <c:ptCount val="18"/>
                <c:pt idx="0">
                  <c:v>2003</c:v>
                </c:pt>
                <c:pt idx="1">
                  <c:v>2004</c:v>
                </c:pt>
                <c:pt idx="2">
                  <c:v>2005</c:v>
                </c:pt>
                <c:pt idx="3">
                  <c:v>2007</c:v>
                </c:pt>
                <c:pt idx="4">
                  <c:v>2008</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strCache>
            </c:strRef>
          </c:cat>
          <c:val>
            <c:numRef>
              <c:f>Calculations!$B$9:$B$27</c:f>
              <c:numCache>
                <c:formatCode>[&gt;=1000000]"$"0.0,"M";[&gt;=1000]"$"0.0,"K";0</c:formatCode>
                <c:ptCount val="18"/>
                <c:pt idx="0">
                  <c:v>7999</c:v>
                </c:pt>
                <c:pt idx="1">
                  <c:v>19495</c:v>
                </c:pt>
                <c:pt idx="2">
                  <c:v>46390</c:v>
                </c:pt>
                <c:pt idx="3">
                  <c:v>48998</c:v>
                </c:pt>
                <c:pt idx="4">
                  <c:v>8777</c:v>
                </c:pt>
                <c:pt idx="5">
                  <c:v>162249</c:v>
                </c:pt>
                <c:pt idx="6">
                  <c:v>174875</c:v>
                </c:pt>
                <c:pt idx="7">
                  <c:v>67078</c:v>
                </c:pt>
                <c:pt idx="8">
                  <c:v>206992</c:v>
                </c:pt>
                <c:pt idx="9">
                  <c:v>206350</c:v>
                </c:pt>
                <c:pt idx="10">
                  <c:v>370827</c:v>
                </c:pt>
                <c:pt idx="11">
                  <c:v>382853</c:v>
                </c:pt>
                <c:pt idx="12">
                  <c:v>537906</c:v>
                </c:pt>
                <c:pt idx="13">
                  <c:v>979620</c:v>
                </c:pt>
                <c:pt idx="14">
                  <c:v>2042095</c:v>
                </c:pt>
                <c:pt idx="15">
                  <c:v>1426444</c:v>
                </c:pt>
                <c:pt idx="16">
                  <c:v>1774688</c:v>
                </c:pt>
                <c:pt idx="17">
                  <c:v>326440</c:v>
                </c:pt>
              </c:numCache>
            </c:numRef>
          </c:val>
          <c:extLst>
            <c:ext xmlns:c16="http://schemas.microsoft.com/office/drawing/2014/chart" uri="{C3380CC4-5D6E-409C-BE32-E72D297353CC}">
              <c16:uniqueId val="{00000000-B178-4B6D-9D9D-8B91F03091F0}"/>
            </c:ext>
          </c:extLst>
        </c:ser>
        <c:dLbls>
          <c:showLegendKey val="0"/>
          <c:showVal val="0"/>
          <c:showCatName val="0"/>
          <c:showSerName val="0"/>
          <c:showPercent val="0"/>
          <c:showBubbleSize val="0"/>
        </c:dLbls>
        <c:gapWidth val="119"/>
        <c:overlap val="84"/>
        <c:axId val="1877070959"/>
        <c:axId val="179982783"/>
      </c:barChart>
      <c:catAx>
        <c:axId val="187707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2783"/>
        <c:crosses val="autoZero"/>
        <c:auto val="1"/>
        <c:lblAlgn val="ctr"/>
        <c:lblOffset val="100"/>
        <c:noMultiLvlLbl val="0"/>
      </c:catAx>
      <c:valAx>
        <c:axId val="179982783"/>
        <c:scaling>
          <c:orientation val="minMax"/>
        </c:scaling>
        <c:delete val="1"/>
        <c:axPos val="l"/>
        <c:majorGridlines>
          <c:spPr>
            <a:ln w="9525" cap="flat" cmpd="sng" algn="ctr">
              <a:solidFill>
                <a:srgbClr val="44975C">
                  <a:alpha val="24000"/>
                </a:srgbClr>
              </a:solidFill>
              <a:round/>
            </a:ln>
            <a:effectLst/>
          </c:spPr>
        </c:majorGridlines>
        <c:numFmt formatCode="[&gt;=1000000]&quot;$&quot;0.0,&quot;M&quot;;[&gt;=1000]&quot;$&quot;0.0,&quot;K&quot;;0" sourceLinked="1"/>
        <c:majorTickMark val="none"/>
        <c:minorTickMark val="none"/>
        <c:tickLblPos val="nextTo"/>
        <c:crossAx val="187707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[Truecars.xlsx]Calculations!PivotTable15</c:name>
    <c:fmtId val="3"/>
  </c:pivotSource>
  <c:chart>
    <c:autoTitleDeleted val="1"/>
    <c:pivotFmts>
      <c:pivotFmt>
        <c:idx val="0"/>
        <c:spPr>
          <a:solidFill>
            <a:srgbClr val="449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9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9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Calculations!$K$5</c:f>
              <c:strCache>
                <c:ptCount val="1"/>
                <c:pt idx="0">
                  <c:v>Total</c:v>
                </c:pt>
              </c:strCache>
            </c:strRef>
          </c:tx>
          <c:spPr>
            <a:solidFill>
              <a:srgbClr val="44975C"/>
            </a:solidFill>
            <a:ln>
              <a:noFill/>
            </a:ln>
            <a:effectLst/>
          </c:spPr>
          <c:invertIfNegative val="0"/>
          <c:cat>
            <c:strRef>
              <c:f>Calculations!$J$6:$J$11</c:f>
              <c:strCache>
                <c:ptCount val="5"/>
                <c:pt idx="0">
                  <c:v>Chevrolet</c:v>
                </c:pt>
                <c:pt idx="1">
                  <c:v>Ford</c:v>
                </c:pt>
                <c:pt idx="2">
                  <c:v>Mercedes-Benz</c:v>
                </c:pt>
                <c:pt idx="3">
                  <c:v>Ram</c:v>
                </c:pt>
                <c:pt idx="4">
                  <c:v>Toyota</c:v>
                </c:pt>
              </c:strCache>
            </c:strRef>
          </c:cat>
          <c:val>
            <c:numRef>
              <c:f>Calculations!$K$6:$K$11</c:f>
              <c:numCache>
                <c:formatCode>[&gt;=1000000]"$"0.0,"M";[&gt;=1000]"$"0.0,"K";0</c:formatCode>
                <c:ptCount val="5"/>
                <c:pt idx="0">
                  <c:v>889526</c:v>
                </c:pt>
                <c:pt idx="1">
                  <c:v>1019633</c:v>
                </c:pt>
                <c:pt idx="2">
                  <c:v>604529</c:v>
                </c:pt>
                <c:pt idx="3">
                  <c:v>583224</c:v>
                </c:pt>
                <c:pt idx="4">
                  <c:v>801407</c:v>
                </c:pt>
              </c:numCache>
            </c:numRef>
          </c:val>
          <c:extLst>
            <c:ext xmlns:c16="http://schemas.microsoft.com/office/drawing/2014/chart" uri="{C3380CC4-5D6E-409C-BE32-E72D297353CC}">
              <c16:uniqueId val="{00000000-5C50-4E99-84AF-73373AF6F8C2}"/>
            </c:ext>
          </c:extLst>
        </c:ser>
        <c:dLbls>
          <c:showLegendKey val="0"/>
          <c:showVal val="0"/>
          <c:showCatName val="0"/>
          <c:showSerName val="0"/>
          <c:showPercent val="0"/>
          <c:showBubbleSize val="0"/>
        </c:dLbls>
        <c:gapWidth val="120"/>
        <c:overlap val="-100"/>
        <c:axId val="1868365807"/>
        <c:axId val="1868365327"/>
      </c:barChart>
      <c:catAx>
        <c:axId val="18683658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65327"/>
        <c:crosses val="autoZero"/>
        <c:auto val="1"/>
        <c:lblAlgn val="ctr"/>
        <c:lblOffset val="100"/>
        <c:noMultiLvlLbl val="0"/>
      </c:catAx>
      <c:valAx>
        <c:axId val="1868365327"/>
        <c:scaling>
          <c:orientation val="minMax"/>
        </c:scaling>
        <c:delete val="1"/>
        <c:axPos val="b"/>
        <c:numFmt formatCode="[&gt;=1000000]&quot;$&quot;0.0,&quot;M&quot;;[&gt;=1000]&quot;$&quot;0.0,&quot;K&quot;;0" sourceLinked="1"/>
        <c:majorTickMark val="none"/>
        <c:minorTickMark val="none"/>
        <c:tickLblPos val="nextTo"/>
        <c:crossAx val="186836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[Truecars.xlsx]Calculations!PivotTable14</c:name>
    <c:fmtId val="3"/>
  </c:pivotSource>
  <c:chart>
    <c:autoTitleDeleted val="1"/>
    <c:pivotFmts>
      <c:pivotFmt>
        <c:idx val="0"/>
        <c:spPr>
          <a:solidFill>
            <a:srgbClr val="1CA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A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A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Calculations!$H$19</c:f>
              <c:strCache>
                <c:ptCount val="1"/>
                <c:pt idx="0">
                  <c:v>Total</c:v>
                </c:pt>
              </c:strCache>
            </c:strRef>
          </c:tx>
          <c:spPr>
            <a:solidFill>
              <a:srgbClr val="1CA86C"/>
            </a:solidFill>
            <a:ln>
              <a:noFill/>
            </a:ln>
            <a:effectLst/>
          </c:spPr>
          <c:invertIfNegative val="0"/>
          <c:cat>
            <c:strRef>
              <c:f>Calculations!$G$20:$G$24</c:f>
              <c:strCache>
                <c:ptCount val="4"/>
                <c:pt idx="0">
                  <c:v>4WD</c:v>
                </c:pt>
                <c:pt idx="1">
                  <c:v>AWD</c:v>
                </c:pt>
                <c:pt idx="2">
                  <c:v>FWD</c:v>
                </c:pt>
                <c:pt idx="3">
                  <c:v>RWD</c:v>
                </c:pt>
              </c:strCache>
            </c:strRef>
          </c:cat>
          <c:val>
            <c:numRef>
              <c:f>Calculations!$H$20:$H$24</c:f>
              <c:numCache>
                <c:formatCode>[&gt;=1000000]"$"0.0,"M";[&gt;=1000]"$"0.0,"K";0</c:formatCode>
                <c:ptCount val="4"/>
                <c:pt idx="0">
                  <c:v>65</c:v>
                </c:pt>
                <c:pt idx="1">
                  <c:v>69</c:v>
                </c:pt>
                <c:pt idx="2">
                  <c:v>86</c:v>
                </c:pt>
                <c:pt idx="3">
                  <c:v>35</c:v>
                </c:pt>
              </c:numCache>
            </c:numRef>
          </c:val>
          <c:extLst>
            <c:ext xmlns:c16="http://schemas.microsoft.com/office/drawing/2014/chart" uri="{C3380CC4-5D6E-409C-BE32-E72D297353CC}">
              <c16:uniqueId val="{00000000-7388-4735-8864-7E69A83D79AC}"/>
            </c:ext>
          </c:extLst>
        </c:ser>
        <c:dLbls>
          <c:showLegendKey val="0"/>
          <c:showVal val="0"/>
          <c:showCatName val="0"/>
          <c:showSerName val="0"/>
          <c:showPercent val="0"/>
          <c:showBubbleSize val="0"/>
        </c:dLbls>
        <c:gapWidth val="219"/>
        <c:overlap val="-27"/>
        <c:axId val="2045814479"/>
        <c:axId val="2045819759"/>
      </c:barChart>
      <c:catAx>
        <c:axId val="20458144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819759"/>
        <c:crosses val="autoZero"/>
        <c:auto val="1"/>
        <c:lblAlgn val="ctr"/>
        <c:lblOffset val="100"/>
        <c:noMultiLvlLbl val="0"/>
      </c:catAx>
      <c:valAx>
        <c:axId val="2045819759"/>
        <c:scaling>
          <c:orientation val="minMax"/>
        </c:scaling>
        <c:delete val="1"/>
        <c:axPos val="l"/>
        <c:numFmt formatCode="[&gt;=1000000]&quot;$&quot;0.0,&quot;M&quot;;[&gt;=1000]&quot;$&quot;0.0,&quot;K&quot;;0" sourceLinked="1"/>
        <c:majorTickMark val="none"/>
        <c:minorTickMark val="none"/>
        <c:tickLblPos val="nextTo"/>
        <c:crossAx val="204581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[Truecars.xlsx]Calculations!PivotTable12</c:name>
    <c:fmtId val="4"/>
  </c:pivotSource>
  <c:chart>
    <c:autoTitleDeleted val="1"/>
    <c:pivotFmts>
      <c:pivotFmt>
        <c:idx val="0"/>
        <c:spPr>
          <a:solidFill>
            <a:srgbClr val="1CA86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9279"/>
          </a:solidFill>
          <a:ln w="19050">
            <a:solidFill>
              <a:schemeClr val="lt1"/>
            </a:solidFill>
          </a:ln>
          <a:effectLst/>
        </c:spPr>
        <c:dLbl>
          <c:idx val="0"/>
          <c:layout>
            <c:manualLayout>
              <c:x val="0.22787887487621078"/>
              <c:y val="5.0526349292233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CA86C"/>
          </a:solidFill>
          <a:ln w="19050">
            <a:solidFill>
              <a:schemeClr val="lt1"/>
            </a:solidFill>
          </a:ln>
          <a:effectLst/>
        </c:spPr>
        <c:dLbl>
          <c:idx val="0"/>
          <c:layout>
            <c:manualLayout>
              <c:x val="-0.10181822068937083"/>
              <c:y val="-6.736846572297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A86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B9279"/>
          </a:solidFill>
          <a:ln w="19050">
            <a:solidFill>
              <a:schemeClr val="lt1"/>
            </a:solidFill>
          </a:ln>
          <a:effectLst/>
        </c:spPr>
        <c:dLbl>
          <c:idx val="0"/>
          <c:layout>
            <c:manualLayout>
              <c:x val="0.22787887487621078"/>
              <c:y val="5.0526349292233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A86C"/>
          </a:solidFill>
          <a:ln w="19050">
            <a:solidFill>
              <a:schemeClr val="lt1"/>
            </a:solidFill>
          </a:ln>
          <a:effectLst/>
        </c:spPr>
        <c:dLbl>
          <c:idx val="0"/>
          <c:layout>
            <c:manualLayout>
              <c:x val="-0.10181822068937083"/>
              <c:y val="-6.736846572297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CA86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B9279"/>
          </a:solidFill>
          <a:ln w="19050">
            <a:solidFill>
              <a:schemeClr val="lt1"/>
            </a:solidFill>
          </a:ln>
          <a:effectLst/>
        </c:spPr>
        <c:dLbl>
          <c:idx val="0"/>
          <c:layout>
            <c:manualLayout>
              <c:x val="0.22787887487621078"/>
              <c:y val="5.05263492922332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A86C"/>
          </a:solidFill>
          <a:ln w="19050">
            <a:solidFill>
              <a:schemeClr val="lt1"/>
            </a:solidFill>
          </a:ln>
          <a:effectLst/>
        </c:spPr>
        <c:dLbl>
          <c:idx val="0"/>
          <c:layout>
            <c:manualLayout>
              <c:x val="-0.10181822068937083"/>
              <c:y val="-6.736846572297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Calculations!$E$20</c:f>
              <c:strCache>
                <c:ptCount val="1"/>
                <c:pt idx="0">
                  <c:v>Total</c:v>
                </c:pt>
              </c:strCache>
            </c:strRef>
          </c:tx>
          <c:spPr>
            <a:solidFill>
              <a:srgbClr val="1CA86C"/>
            </a:solidFill>
          </c:spPr>
          <c:dPt>
            <c:idx val="0"/>
            <c:bubble3D val="0"/>
            <c:spPr>
              <a:solidFill>
                <a:srgbClr val="1B9279"/>
              </a:solidFill>
              <a:ln w="19050">
                <a:solidFill>
                  <a:schemeClr val="lt1"/>
                </a:solidFill>
              </a:ln>
              <a:effectLst/>
            </c:spPr>
            <c:extLst>
              <c:ext xmlns:c16="http://schemas.microsoft.com/office/drawing/2014/chart" uri="{C3380CC4-5D6E-409C-BE32-E72D297353CC}">
                <c16:uniqueId val="{00000001-E737-4A1A-97AB-57CFE7B35579}"/>
              </c:ext>
            </c:extLst>
          </c:dPt>
          <c:dPt>
            <c:idx val="1"/>
            <c:bubble3D val="0"/>
            <c:spPr>
              <a:solidFill>
                <a:srgbClr val="1CA86C"/>
              </a:solidFill>
              <a:ln w="19050">
                <a:solidFill>
                  <a:schemeClr val="lt1"/>
                </a:solidFill>
              </a:ln>
              <a:effectLst/>
            </c:spPr>
            <c:extLst>
              <c:ext xmlns:c16="http://schemas.microsoft.com/office/drawing/2014/chart" uri="{C3380CC4-5D6E-409C-BE32-E72D297353CC}">
                <c16:uniqueId val="{00000003-E737-4A1A-97AB-57CFE7B35579}"/>
              </c:ext>
            </c:extLst>
          </c:dPt>
          <c:dLbls>
            <c:dLbl>
              <c:idx val="0"/>
              <c:layout>
                <c:manualLayout>
                  <c:x val="0.22787887487621078"/>
                  <c:y val="5.05263492922332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37-4A1A-97AB-57CFE7B35579}"/>
                </c:ext>
              </c:extLst>
            </c:dLbl>
            <c:dLbl>
              <c:idx val="1"/>
              <c:layout>
                <c:manualLayout>
                  <c:x val="-0.10181822068937083"/>
                  <c:y val="-6.736846572297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37-4A1A-97AB-57CFE7B355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Calculations!$D$21:$D$23</c:f>
              <c:strCache>
                <c:ptCount val="2"/>
                <c:pt idx="0">
                  <c:v>Automatic</c:v>
                </c:pt>
                <c:pt idx="1">
                  <c:v>Manual</c:v>
                </c:pt>
              </c:strCache>
            </c:strRef>
          </c:cat>
          <c:val>
            <c:numRef>
              <c:f>Calculations!$E$21:$E$23</c:f>
              <c:numCache>
                <c:formatCode>[&gt;=1000000]"$"0.0,"M";[&gt;=1000]"$"0.0,"K";0</c:formatCode>
                <c:ptCount val="2"/>
                <c:pt idx="0">
                  <c:v>248</c:v>
                </c:pt>
                <c:pt idx="1">
                  <c:v>7</c:v>
                </c:pt>
              </c:numCache>
            </c:numRef>
          </c:val>
          <c:extLst>
            <c:ext xmlns:c16="http://schemas.microsoft.com/office/drawing/2014/chart" uri="{C3380CC4-5D6E-409C-BE32-E72D297353CC}">
              <c16:uniqueId val="{00000004-E737-4A1A-97AB-57CFE7B355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[Truecars.xlsx]Calculations!PivotTable11</c:name>
    <c:fmtId val="12"/>
  </c:pivotSource>
  <c:chart>
    <c:autoTitleDeleted val="1"/>
    <c:pivotFmts>
      <c:pivotFmt>
        <c:idx val="0"/>
        <c:spPr>
          <a:solidFill>
            <a:schemeClr val="accent1"/>
          </a:solidFill>
          <a:ln w="19050" cap="rnd">
            <a:solidFill>
              <a:srgbClr val="1B9279"/>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1B9279"/>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1B9279"/>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Calculations!$E$7</c:f>
              <c:strCache>
                <c:ptCount val="1"/>
                <c:pt idx="0">
                  <c:v>Total</c:v>
                </c:pt>
              </c:strCache>
            </c:strRef>
          </c:tx>
          <c:spPr>
            <a:ln w="19050" cap="rnd">
              <a:solidFill>
                <a:srgbClr val="1B9279"/>
              </a:solidFill>
              <a:prstDash val="sysDot"/>
              <a:round/>
            </a:ln>
            <a:effectLst/>
          </c:spPr>
          <c:marker>
            <c:symbol val="none"/>
          </c:marker>
          <c:cat>
            <c:strRef>
              <c:f>Calculations!$D$8:$D$16</c:f>
              <c:strCache>
                <c:ptCount val="8"/>
                <c:pt idx="0">
                  <c:v>Cargo Van</c:v>
                </c:pt>
                <c:pt idx="1">
                  <c:v>Convertible</c:v>
                </c:pt>
                <c:pt idx="2">
                  <c:v>Coupe</c:v>
                </c:pt>
                <c:pt idx="3">
                  <c:v>Hatchback</c:v>
                </c:pt>
                <c:pt idx="4">
                  <c:v>Minivan</c:v>
                </c:pt>
                <c:pt idx="5">
                  <c:v>Pickup Truck</c:v>
                </c:pt>
                <c:pt idx="6">
                  <c:v>Sedan</c:v>
                </c:pt>
                <c:pt idx="7">
                  <c:v>SUV</c:v>
                </c:pt>
              </c:strCache>
            </c:strRef>
          </c:cat>
          <c:val>
            <c:numRef>
              <c:f>Calculations!$E$8:$E$16</c:f>
              <c:numCache>
                <c:formatCode>[&gt;=1000000]"$"0.0,"M";[&gt;=1000]"$"0.0,"K";0</c:formatCode>
                <c:ptCount val="8"/>
                <c:pt idx="0">
                  <c:v>3</c:v>
                </c:pt>
                <c:pt idx="1">
                  <c:v>4</c:v>
                </c:pt>
                <c:pt idx="2">
                  <c:v>6</c:v>
                </c:pt>
                <c:pt idx="3">
                  <c:v>5</c:v>
                </c:pt>
                <c:pt idx="4">
                  <c:v>7</c:v>
                </c:pt>
                <c:pt idx="5">
                  <c:v>50</c:v>
                </c:pt>
                <c:pt idx="6">
                  <c:v>59</c:v>
                </c:pt>
                <c:pt idx="7">
                  <c:v>121</c:v>
                </c:pt>
              </c:numCache>
            </c:numRef>
          </c:val>
          <c:smooth val="1"/>
          <c:extLst>
            <c:ext xmlns:c16="http://schemas.microsoft.com/office/drawing/2014/chart" uri="{C3380CC4-5D6E-409C-BE32-E72D297353CC}">
              <c16:uniqueId val="{00000000-039A-4C94-AA7D-A06F9BE3F9CE}"/>
            </c:ext>
          </c:extLst>
        </c:ser>
        <c:dLbls>
          <c:showLegendKey val="0"/>
          <c:showVal val="0"/>
          <c:showCatName val="0"/>
          <c:showSerName val="0"/>
          <c:showPercent val="0"/>
          <c:showBubbleSize val="0"/>
        </c:dLbls>
        <c:smooth val="0"/>
        <c:axId val="2055302559"/>
        <c:axId val="2055303999"/>
      </c:lineChart>
      <c:catAx>
        <c:axId val="205530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03999"/>
        <c:crosses val="autoZero"/>
        <c:auto val="1"/>
        <c:lblAlgn val="ctr"/>
        <c:lblOffset val="100"/>
        <c:noMultiLvlLbl val="0"/>
      </c:catAx>
      <c:valAx>
        <c:axId val="2055303999"/>
        <c:scaling>
          <c:orientation val="minMax"/>
        </c:scaling>
        <c:delete val="1"/>
        <c:axPos val="l"/>
        <c:majorGridlines>
          <c:spPr>
            <a:ln w="9525" cap="flat" cmpd="sng" algn="ctr">
              <a:solidFill>
                <a:srgbClr val="1B9279">
                  <a:alpha val="14000"/>
                </a:srgbClr>
              </a:solidFill>
              <a:round/>
            </a:ln>
            <a:effectLst/>
          </c:spPr>
        </c:majorGridlines>
        <c:numFmt formatCode="[&gt;=1000000]&quot;$&quot;0.0,&quot;M&quot;;[&gt;=1000]&quot;$&quot;0.0,&quot;K&quot;;0" sourceLinked="1"/>
        <c:majorTickMark val="none"/>
        <c:minorTickMark val="none"/>
        <c:tickLblPos val="nextTo"/>
        <c:crossAx val="205530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shboard!A1"/><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used_cars_data_from_truecar_usa!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Calculations!A1"/><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176211</xdr:colOff>
      <xdr:row>0</xdr:row>
      <xdr:rowOff>104774</xdr:rowOff>
    </xdr:from>
    <xdr:to>
      <xdr:col>20</xdr:col>
      <xdr:colOff>511969</xdr:colOff>
      <xdr:row>32</xdr:row>
      <xdr:rowOff>23813</xdr:rowOff>
    </xdr:to>
    <xdr:sp macro="" textlink="">
      <xdr:nvSpPr>
        <xdr:cNvPr id="2" name="Rectangle: Rounded Corners 1">
          <a:extLst>
            <a:ext uri="{FF2B5EF4-FFF2-40B4-BE49-F238E27FC236}">
              <a16:creationId xmlns:a16="http://schemas.microsoft.com/office/drawing/2014/main" id="{A48605AC-835E-8A23-BB50-5F2C9A82F7FA}"/>
            </a:ext>
          </a:extLst>
        </xdr:cNvPr>
        <xdr:cNvSpPr/>
      </xdr:nvSpPr>
      <xdr:spPr>
        <a:xfrm>
          <a:off x="1997867" y="104774"/>
          <a:ext cx="10658477" cy="6015039"/>
        </a:xfrm>
        <a:prstGeom prst="roundRect">
          <a:avLst>
            <a:gd name="adj" fmla="val 3509"/>
          </a:avLst>
        </a:prstGeom>
        <a:solidFill>
          <a:srgbClr val="2286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166688</xdr:colOff>
      <xdr:row>0</xdr:row>
      <xdr:rowOff>107158</xdr:rowOff>
    </xdr:from>
    <xdr:to>
      <xdr:col>6</xdr:col>
      <xdr:colOff>107156</xdr:colOff>
      <xdr:row>32</xdr:row>
      <xdr:rowOff>11909</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8D38647A-A97C-2304-3995-8F2DCE281058}"/>
            </a:ext>
          </a:extLst>
        </xdr:cNvPr>
        <xdr:cNvSpPr/>
      </xdr:nvSpPr>
      <xdr:spPr>
        <a:xfrm rot="5400000">
          <a:off x="-130969" y="2226471"/>
          <a:ext cx="6000751" cy="1762125"/>
        </a:xfrm>
        <a:prstGeom prst="roundRect">
          <a:avLst>
            <a:gd name="adj" fmla="val 14156"/>
          </a:avLst>
        </a:prstGeom>
        <a:solidFill>
          <a:srgbClr val="0037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a:solidFill>
              <a:schemeClr val="lt1"/>
            </a:solidFill>
            <a:latin typeface="Bahnschrift SemiBold" panose="020B0502040204020203" pitchFamily="34" charset="0"/>
            <a:ea typeface="+mn-ea"/>
            <a:cs typeface="+mn-cs"/>
          </a:endParaRPr>
        </a:p>
      </xdr:txBody>
    </xdr:sp>
    <xdr:clientData/>
  </xdr:twoCellAnchor>
  <xdr:twoCellAnchor>
    <xdr:from>
      <xdr:col>6</xdr:col>
      <xdr:colOff>190498</xdr:colOff>
      <xdr:row>1</xdr:row>
      <xdr:rowOff>35719</xdr:rowOff>
    </xdr:from>
    <xdr:to>
      <xdr:col>9</xdr:col>
      <xdr:colOff>428623</xdr:colOff>
      <xdr:row>6</xdr:row>
      <xdr:rowOff>178592</xdr:rowOff>
    </xdr:to>
    <xdr:sp macro="" textlink="">
      <xdr:nvSpPr>
        <xdr:cNvPr id="4" name="Rectangle: Rounded Corners 3">
          <a:extLst>
            <a:ext uri="{FF2B5EF4-FFF2-40B4-BE49-F238E27FC236}">
              <a16:creationId xmlns:a16="http://schemas.microsoft.com/office/drawing/2014/main" id="{1455E012-733C-E474-1DBC-7AA754402FB4}"/>
            </a:ext>
          </a:extLst>
        </xdr:cNvPr>
        <xdr:cNvSpPr/>
      </xdr:nvSpPr>
      <xdr:spPr>
        <a:xfrm>
          <a:off x="3833811" y="226219"/>
          <a:ext cx="2059781" cy="1095373"/>
        </a:xfrm>
        <a:prstGeom prst="roundRect">
          <a:avLst>
            <a:gd name="adj" fmla="val 7850"/>
          </a:avLst>
        </a:prstGeom>
        <a:solidFill>
          <a:srgbClr val="1CA8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518317</xdr:colOff>
      <xdr:row>1</xdr:row>
      <xdr:rowOff>35719</xdr:rowOff>
    </xdr:from>
    <xdr:to>
      <xdr:col>13</xdr:col>
      <xdr:colOff>149223</xdr:colOff>
      <xdr:row>6</xdr:row>
      <xdr:rowOff>180973</xdr:rowOff>
    </xdr:to>
    <xdr:sp macro="" textlink="">
      <xdr:nvSpPr>
        <xdr:cNvPr id="5" name="Rectangle: Rounded Corners 4">
          <a:extLst>
            <a:ext uri="{FF2B5EF4-FFF2-40B4-BE49-F238E27FC236}">
              <a16:creationId xmlns:a16="http://schemas.microsoft.com/office/drawing/2014/main" id="{FC50E3C9-4B8C-4CC9-BBD3-E3C6E8B1F85F}"/>
            </a:ext>
          </a:extLst>
        </xdr:cNvPr>
        <xdr:cNvSpPr/>
      </xdr:nvSpPr>
      <xdr:spPr>
        <a:xfrm>
          <a:off x="5983286" y="226219"/>
          <a:ext cx="2059781" cy="1097754"/>
        </a:xfrm>
        <a:prstGeom prst="roundRect">
          <a:avLst>
            <a:gd name="adj" fmla="val 6746"/>
          </a:avLst>
        </a:prstGeom>
        <a:solidFill>
          <a:srgbClr val="1CA8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566737</xdr:colOff>
      <xdr:row>1</xdr:row>
      <xdr:rowOff>35719</xdr:rowOff>
    </xdr:from>
    <xdr:to>
      <xdr:col>20</xdr:col>
      <xdr:colOff>197643</xdr:colOff>
      <xdr:row>6</xdr:row>
      <xdr:rowOff>157161</xdr:rowOff>
    </xdr:to>
    <xdr:sp macro="" textlink="">
      <xdr:nvSpPr>
        <xdr:cNvPr id="6" name="Rectangle: Rounded Corners 5">
          <a:extLst>
            <a:ext uri="{FF2B5EF4-FFF2-40B4-BE49-F238E27FC236}">
              <a16:creationId xmlns:a16="http://schemas.microsoft.com/office/drawing/2014/main" id="{E9AB3064-CA12-4B3E-977F-E1CDACB75FC2}"/>
            </a:ext>
          </a:extLst>
        </xdr:cNvPr>
        <xdr:cNvSpPr/>
      </xdr:nvSpPr>
      <xdr:spPr>
        <a:xfrm>
          <a:off x="10282237" y="226219"/>
          <a:ext cx="2059781" cy="1073942"/>
        </a:xfrm>
        <a:prstGeom prst="roundRect">
          <a:avLst>
            <a:gd name="adj" fmla="val 8889"/>
          </a:avLst>
        </a:prstGeom>
        <a:solidFill>
          <a:srgbClr val="1CA8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238917</xdr:colOff>
      <xdr:row>1</xdr:row>
      <xdr:rowOff>35719</xdr:rowOff>
    </xdr:from>
    <xdr:to>
      <xdr:col>16</xdr:col>
      <xdr:colOff>477042</xdr:colOff>
      <xdr:row>6</xdr:row>
      <xdr:rowOff>157161</xdr:rowOff>
    </xdr:to>
    <xdr:sp macro="" textlink="">
      <xdr:nvSpPr>
        <xdr:cNvPr id="7" name="Rectangle: Rounded Corners 6">
          <a:extLst>
            <a:ext uri="{FF2B5EF4-FFF2-40B4-BE49-F238E27FC236}">
              <a16:creationId xmlns:a16="http://schemas.microsoft.com/office/drawing/2014/main" id="{C8641FE3-D17B-49E6-8636-6715D1E683BF}"/>
            </a:ext>
          </a:extLst>
        </xdr:cNvPr>
        <xdr:cNvSpPr/>
      </xdr:nvSpPr>
      <xdr:spPr>
        <a:xfrm>
          <a:off x="8132761" y="226219"/>
          <a:ext cx="2059781" cy="1073942"/>
        </a:xfrm>
        <a:prstGeom prst="roundRect">
          <a:avLst>
            <a:gd name="adj" fmla="val 7778"/>
          </a:avLst>
        </a:prstGeom>
        <a:solidFill>
          <a:srgbClr val="1CA8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176211</xdr:colOff>
      <xdr:row>7</xdr:row>
      <xdr:rowOff>130968</xdr:rowOff>
    </xdr:from>
    <xdr:to>
      <xdr:col>16</xdr:col>
      <xdr:colOff>238125</xdr:colOff>
      <xdr:row>19</xdr:row>
      <xdr:rowOff>107156</xdr:rowOff>
    </xdr:to>
    <xdr:sp macro="" textlink="">
      <xdr:nvSpPr>
        <xdr:cNvPr id="8" name="Rectangle: Rounded Corners 7">
          <a:extLst>
            <a:ext uri="{FF2B5EF4-FFF2-40B4-BE49-F238E27FC236}">
              <a16:creationId xmlns:a16="http://schemas.microsoft.com/office/drawing/2014/main" id="{74EE27D5-447E-4E5E-BC64-C2AE3C9A9594}"/>
            </a:ext>
          </a:extLst>
        </xdr:cNvPr>
        <xdr:cNvSpPr/>
      </xdr:nvSpPr>
      <xdr:spPr>
        <a:xfrm>
          <a:off x="3819524" y="1464468"/>
          <a:ext cx="6134101" cy="2262188"/>
        </a:xfrm>
        <a:prstGeom prst="roundRect">
          <a:avLst>
            <a:gd name="adj" fmla="val 6901"/>
          </a:avLst>
        </a:prstGeom>
        <a:solidFill>
          <a:srgbClr val="F2F8F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309563</xdr:colOff>
      <xdr:row>7</xdr:row>
      <xdr:rowOff>130968</xdr:rowOff>
    </xdr:from>
    <xdr:to>
      <xdr:col>20</xdr:col>
      <xdr:colOff>250031</xdr:colOff>
      <xdr:row>19</xdr:row>
      <xdr:rowOff>95249</xdr:rowOff>
    </xdr:to>
    <xdr:sp macro="" textlink="">
      <xdr:nvSpPr>
        <xdr:cNvPr id="9" name="Rectangle: Rounded Corners 8">
          <a:extLst>
            <a:ext uri="{FF2B5EF4-FFF2-40B4-BE49-F238E27FC236}">
              <a16:creationId xmlns:a16="http://schemas.microsoft.com/office/drawing/2014/main" id="{C81467D3-3D5C-4C96-8AEB-95C941D9896A}"/>
            </a:ext>
          </a:extLst>
        </xdr:cNvPr>
        <xdr:cNvSpPr/>
      </xdr:nvSpPr>
      <xdr:spPr>
        <a:xfrm>
          <a:off x="10025063" y="1464468"/>
          <a:ext cx="2369343" cy="2250281"/>
        </a:xfrm>
        <a:prstGeom prst="roundRect">
          <a:avLst>
            <a:gd name="adj" fmla="val 5105"/>
          </a:avLst>
        </a:prstGeom>
        <a:solidFill>
          <a:srgbClr val="F2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188120</xdr:colOff>
      <xdr:row>19</xdr:row>
      <xdr:rowOff>164308</xdr:rowOff>
    </xdr:from>
    <xdr:to>
      <xdr:col>10</xdr:col>
      <xdr:colOff>128588</xdr:colOff>
      <xdr:row>31</xdr:row>
      <xdr:rowOff>128589</xdr:rowOff>
    </xdr:to>
    <xdr:sp macro="" textlink="">
      <xdr:nvSpPr>
        <xdr:cNvPr id="10" name="Rectangle: Rounded Corners 9">
          <a:extLst>
            <a:ext uri="{FF2B5EF4-FFF2-40B4-BE49-F238E27FC236}">
              <a16:creationId xmlns:a16="http://schemas.microsoft.com/office/drawing/2014/main" id="{834C1DA9-594E-44DC-91D5-734048621F43}"/>
            </a:ext>
          </a:extLst>
        </xdr:cNvPr>
        <xdr:cNvSpPr/>
      </xdr:nvSpPr>
      <xdr:spPr>
        <a:xfrm>
          <a:off x="3831433" y="3783808"/>
          <a:ext cx="2369343" cy="2250281"/>
        </a:xfrm>
        <a:prstGeom prst="roundRect">
          <a:avLst>
            <a:gd name="adj" fmla="val 5105"/>
          </a:avLst>
        </a:prstGeom>
        <a:solidFill>
          <a:srgbClr val="F2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251223</xdr:colOff>
      <xdr:row>19</xdr:row>
      <xdr:rowOff>164308</xdr:rowOff>
    </xdr:from>
    <xdr:to>
      <xdr:col>14</xdr:col>
      <xdr:colOff>191691</xdr:colOff>
      <xdr:row>31</xdr:row>
      <xdr:rowOff>128589</xdr:rowOff>
    </xdr:to>
    <xdr:sp macro="" textlink="">
      <xdr:nvSpPr>
        <xdr:cNvPr id="11" name="Rectangle: Rounded Corners 10">
          <a:extLst>
            <a:ext uri="{FF2B5EF4-FFF2-40B4-BE49-F238E27FC236}">
              <a16:creationId xmlns:a16="http://schemas.microsoft.com/office/drawing/2014/main" id="{C3BD9530-C6C5-4DAF-AF1C-8E3F028F4B81}"/>
            </a:ext>
          </a:extLst>
        </xdr:cNvPr>
        <xdr:cNvSpPr/>
      </xdr:nvSpPr>
      <xdr:spPr>
        <a:xfrm>
          <a:off x="6323411" y="3783808"/>
          <a:ext cx="2369343" cy="2250281"/>
        </a:xfrm>
        <a:prstGeom prst="roundRect">
          <a:avLst>
            <a:gd name="adj" fmla="val 5105"/>
          </a:avLst>
        </a:prstGeom>
        <a:solidFill>
          <a:srgbClr val="F2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314327</xdr:colOff>
      <xdr:row>19</xdr:row>
      <xdr:rowOff>164308</xdr:rowOff>
    </xdr:from>
    <xdr:to>
      <xdr:col>20</xdr:col>
      <xdr:colOff>309563</xdr:colOff>
      <xdr:row>31</xdr:row>
      <xdr:rowOff>111919</xdr:rowOff>
    </xdr:to>
    <xdr:sp macro="" textlink="">
      <xdr:nvSpPr>
        <xdr:cNvPr id="12" name="Rectangle: Rounded Corners 11">
          <a:extLst>
            <a:ext uri="{FF2B5EF4-FFF2-40B4-BE49-F238E27FC236}">
              <a16:creationId xmlns:a16="http://schemas.microsoft.com/office/drawing/2014/main" id="{7AC1AB40-961C-4D1A-A555-9C2D83504BFD}"/>
            </a:ext>
          </a:extLst>
        </xdr:cNvPr>
        <xdr:cNvSpPr/>
      </xdr:nvSpPr>
      <xdr:spPr>
        <a:xfrm>
          <a:off x="8815390" y="3783808"/>
          <a:ext cx="3638548" cy="2233611"/>
        </a:xfrm>
        <a:prstGeom prst="roundRect">
          <a:avLst>
            <a:gd name="adj" fmla="val 5105"/>
          </a:avLst>
        </a:prstGeom>
        <a:solidFill>
          <a:srgbClr val="F2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xdr:col>
      <xdr:colOff>321469</xdr:colOff>
      <xdr:row>1</xdr:row>
      <xdr:rowOff>168274</xdr:rowOff>
    </xdr:from>
    <xdr:to>
      <xdr:col>4</xdr:col>
      <xdr:colOff>190500</xdr:colOff>
      <xdr:row>4</xdr:row>
      <xdr:rowOff>92868</xdr:rowOff>
    </xdr:to>
    <xdr:pic>
      <xdr:nvPicPr>
        <xdr:cNvPr id="18" name="Picture 17">
          <a:extLst>
            <a:ext uri="{FF2B5EF4-FFF2-40B4-BE49-F238E27FC236}">
              <a16:creationId xmlns:a16="http://schemas.microsoft.com/office/drawing/2014/main" id="{877580B8-E10B-41D0-B06D-6E426AAAE347}"/>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2143125" y="358774"/>
          <a:ext cx="476250" cy="496094"/>
        </a:xfrm>
        <a:prstGeom prst="rect">
          <a:avLst/>
        </a:prstGeom>
      </xdr:spPr>
    </xdr:pic>
    <xdr:clientData/>
  </xdr:twoCellAnchor>
  <xdr:twoCellAnchor>
    <xdr:from>
      <xdr:col>4</xdr:col>
      <xdr:colOff>238125</xdr:colOff>
      <xdr:row>1</xdr:row>
      <xdr:rowOff>130969</xdr:rowOff>
    </xdr:from>
    <xdr:to>
      <xdr:col>4</xdr:col>
      <xdr:colOff>250031</xdr:colOff>
      <xdr:row>4</xdr:row>
      <xdr:rowOff>130969</xdr:rowOff>
    </xdr:to>
    <xdr:cxnSp macro="">
      <xdr:nvCxnSpPr>
        <xdr:cNvPr id="24" name="Straight Connector 23">
          <a:extLst>
            <a:ext uri="{FF2B5EF4-FFF2-40B4-BE49-F238E27FC236}">
              <a16:creationId xmlns:a16="http://schemas.microsoft.com/office/drawing/2014/main" id="{D5565359-D3ED-1361-381F-F785E465A655}"/>
            </a:ext>
          </a:extLst>
        </xdr:cNvPr>
        <xdr:cNvCxnSpPr/>
      </xdr:nvCxnSpPr>
      <xdr:spPr>
        <a:xfrm>
          <a:off x="2667000" y="321469"/>
          <a:ext cx="11906" cy="571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261936</xdr:colOff>
      <xdr:row>1</xdr:row>
      <xdr:rowOff>142875</xdr:rowOff>
    </xdr:from>
    <xdr:to>
      <xdr:col>5</xdr:col>
      <xdr:colOff>595311</xdr:colOff>
      <xdr:row>5</xdr:row>
      <xdr:rowOff>59531</xdr:rowOff>
    </xdr:to>
    <xdr:sp macro="" textlink="">
      <xdr:nvSpPr>
        <xdr:cNvPr id="34" name="TextBox 33">
          <a:extLst>
            <a:ext uri="{FF2B5EF4-FFF2-40B4-BE49-F238E27FC236}">
              <a16:creationId xmlns:a16="http://schemas.microsoft.com/office/drawing/2014/main" id="{589EE339-D459-847E-713F-3EC3575E3512}"/>
            </a:ext>
          </a:extLst>
        </xdr:cNvPr>
        <xdr:cNvSpPr txBox="1"/>
      </xdr:nvSpPr>
      <xdr:spPr>
        <a:xfrm>
          <a:off x="2690811" y="333375"/>
          <a:ext cx="940594" cy="67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Bahnschrift SemiBold" panose="020B0502040204020203" pitchFamily="34" charset="0"/>
            </a:rPr>
            <a:t>TRUECARS </a:t>
          </a:r>
        </a:p>
        <a:p>
          <a:r>
            <a:rPr lang="en-US" sz="1100">
              <a:solidFill>
                <a:schemeClr val="bg1"/>
              </a:solidFill>
              <a:latin typeface="Bahnschrift SemiBold" panose="020B0502040204020203" pitchFamily="34" charset="0"/>
            </a:rPr>
            <a:t>SALES </a:t>
          </a:r>
        </a:p>
        <a:p>
          <a:r>
            <a:rPr lang="en-US" sz="1100">
              <a:solidFill>
                <a:schemeClr val="bg1"/>
              </a:solidFill>
              <a:latin typeface="Bahnschrift SemiBold" panose="020B0502040204020203" pitchFamily="34" charset="0"/>
            </a:rPr>
            <a:t>OVERVIEW</a:t>
          </a:r>
        </a:p>
      </xdr:txBody>
    </xdr:sp>
    <xdr:clientData/>
  </xdr:twoCellAnchor>
  <xdr:twoCellAnchor>
    <xdr:from>
      <xdr:col>17</xdr:col>
      <xdr:colOff>321468</xdr:colOff>
      <xdr:row>5</xdr:row>
      <xdr:rowOff>23813</xdr:rowOff>
    </xdr:from>
    <xdr:to>
      <xdr:col>19</xdr:col>
      <xdr:colOff>523875</xdr:colOff>
      <xdr:row>6</xdr:row>
      <xdr:rowOff>71439</xdr:rowOff>
    </xdr:to>
    <xdr:sp macro="" textlink="">
      <xdr:nvSpPr>
        <xdr:cNvPr id="35" name="TextBox 34">
          <a:extLst>
            <a:ext uri="{FF2B5EF4-FFF2-40B4-BE49-F238E27FC236}">
              <a16:creationId xmlns:a16="http://schemas.microsoft.com/office/drawing/2014/main" id="{AD7A065F-67D6-8515-D171-5F8B4EEE294B}"/>
            </a:ext>
          </a:extLst>
        </xdr:cNvPr>
        <xdr:cNvSpPr txBox="1"/>
      </xdr:nvSpPr>
      <xdr:spPr>
        <a:xfrm>
          <a:off x="10644187" y="976313"/>
          <a:ext cx="1416844"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ahnschrift SemiBold" panose="020B0502040204020203" pitchFamily="34" charset="0"/>
            </a:rPr>
            <a:t>Total</a:t>
          </a:r>
          <a:r>
            <a:rPr lang="en-US" sz="1200" baseline="0">
              <a:solidFill>
                <a:schemeClr val="bg1"/>
              </a:solidFill>
              <a:latin typeface="Bahnschrift SemiBold" panose="020B0502040204020203" pitchFamily="34" charset="0"/>
            </a:rPr>
            <a:t> KM driven</a:t>
          </a:r>
          <a:endParaRPr lang="en-US" sz="1200">
            <a:solidFill>
              <a:schemeClr val="bg1"/>
            </a:solidFill>
            <a:latin typeface="Bahnschrift SemiBold" panose="020B0502040204020203" pitchFamily="34" charset="0"/>
          </a:endParaRPr>
        </a:p>
      </xdr:txBody>
    </xdr:sp>
    <xdr:clientData/>
  </xdr:twoCellAnchor>
  <xdr:twoCellAnchor>
    <xdr:from>
      <xdr:col>3</xdr:col>
      <xdr:colOff>238125</xdr:colOff>
      <xdr:row>6</xdr:row>
      <xdr:rowOff>166688</xdr:rowOff>
    </xdr:from>
    <xdr:to>
      <xdr:col>5</xdr:col>
      <xdr:colOff>595312</xdr:colOff>
      <xdr:row>8</xdr:row>
      <xdr:rowOff>119062</xdr:rowOff>
    </xdr:to>
    <xdr:sp macro="" textlink="">
      <xdr:nvSpPr>
        <xdr:cNvPr id="46" name="Rectangle: Rounded Corners 45">
          <a:hlinkClick xmlns:r="http://schemas.openxmlformats.org/officeDocument/2006/relationships" r:id="rId3"/>
          <a:extLst>
            <a:ext uri="{FF2B5EF4-FFF2-40B4-BE49-F238E27FC236}">
              <a16:creationId xmlns:a16="http://schemas.microsoft.com/office/drawing/2014/main" id="{332E1147-AC9A-AD56-046B-185D2022807C}"/>
            </a:ext>
          </a:extLst>
        </xdr:cNvPr>
        <xdr:cNvSpPr/>
      </xdr:nvSpPr>
      <xdr:spPr>
        <a:xfrm>
          <a:off x="2059781" y="1309688"/>
          <a:ext cx="1571625" cy="333374"/>
        </a:xfrm>
        <a:prstGeom prst="roundRect">
          <a:avLst/>
        </a:prstGeom>
        <a:solidFill>
          <a:srgbClr val="0037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Bahnschrift SemiBold" panose="020B0502040204020203" pitchFamily="34" charset="0"/>
            </a:rPr>
            <a:t>DASHBOARD</a:t>
          </a:r>
        </a:p>
      </xdr:txBody>
    </xdr:sp>
    <xdr:clientData/>
  </xdr:twoCellAnchor>
  <xdr:twoCellAnchor>
    <xdr:from>
      <xdr:col>3</xdr:col>
      <xdr:colOff>235744</xdr:colOff>
      <xdr:row>9</xdr:row>
      <xdr:rowOff>69056</xdr:rowOff>
    </xdr:from>
    <xdr:to>
      <xdr:col>5</xdr:col>
      <xdr:colOff>592931</xdr:colOff>
      <xdr:row>11</xdr:row>
      <xdr:rowOff>21430</xdr:rowOff>
    </xdr:to>
    <xdr:sp macro="" textlink="">
      <xdr:nvSpPr>
        <xdr:cNvPr id="47" name="Rectangle: Rounded Corners 46">
          <a:hlinkClick xmlns:r="http://schemas.openxmlformats.org/officeDocument/2006/relationships" r:id="rId4"/>
          <a:extLst>
            <a:ext uri="{FF2B5EF4-FFF2-40B4-BE49-F238E27FC236}">
              <a16:creationId xmlns:a16="http://schemas.microsoft.com/office/drawing/2014/main" id="{7B1F07AE-5E48-4319-8BB6-F4465FD153FA}"/>
            </a:ext>
          </a:extLst>
        </xdr:cNvPr>
        <xdr:cNvSpPr/>
      </xdr:nvSpPr>
      <xdr:spPr>
        <a:xfrm>
          <a:off x="2057400" y="1783556"/>
          <a:ext cx="1571625" cy="333374"/>
        </a:xfrm>
        <a:prstGeom prst="roundRect">
          <a:avLst/>
        </a:prstGeom>
        <a:solidFill>
          <a:srgbClr val="0037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a:solidFill>
                <a:schemeClr val="lt1"/>
              </a:solidFill>
              <a:latin typeface="Bahnschrift SemiBold" panose="020B0502040204020203" pitchFamily="34" charset="0"/>
              <a:ea typeface="+mn-ea"/>
              <a:cs typeface="+mn-cs"/>
            </a:rPr>
            <a:t>ANALYSIS</a:t>
          </a:r>
        </a:p>
      </xdr:txBody>
    </xdr:sp>
    <xdr:clientData/>
  </xdr:twoCellAnchor>
  <xdr:twoCellAnchor>
    <xdr:from>
      <xdr:col>3</xdr:col>
      <xdr:colOff>233363</xdr:colOff>
      <xdr:row>11</xdr:row>
      <xdr:rowOff>161924</xdr:rowOff>
    </xdr:from>
    <xdr:to>
      <xdr:col>5</xdr:col>
      <xdr:colOff>590550</xdr:colOff>
      <xdr:row>13</xdr:row>
      <xdr:rowOff>114298</xdr:rowOff>
    </xdr:to>
    <xdr:sp macro="" textlink="">
      <xdr:nvSpPr>
        <xdr:cNvPr id="49" name="Rectangle: Rounded Corners 48">
          <a:hlinkClick xmlns:r="http://schemas.openxmlformats.org/officeDocument/2006/relationships" r:id="rId1"/>
          <a:extLst>
            <a:ext uri="{FF2B5EF4-FFF2-40B4-BE49-F238E27FC236}">
              <a16:creationId xmlns:a16="http://schemas.microsoft.com/office/drawing/2014/main" id="{15448BF5-60E3-4044-98E9-5FD903C003ED}"/>
            </a:ext>
          </a:extLst>
        </xdr:cNvPr>
        <xdr:cNvSpPr/>
      </xdr:nvSpPr>
      <xdr:spPr>
        <a:xfrm>
          <a:off x="2055019" y="2257424"/>
          <a:ext cx="1571625" cy="333374"/>
        </a:xfrm>
        <a:prstGeom prst="roundRect">
          <a:avLst/>
        </a:prstGeom>
        <a:solidFill>
          <a:srgbClr val="0037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lt1"/>
              </a:solidFill>
              <a:latin typeface="Bahnschrift SemiBold" panose="020B0502040204020203" pitchFamily="34" charset="0"/>
              <a:ea typeface="+mn-ea"/>
              <a:cs typeface="+mn-cs"/>
            </a:rPr>
            <a:t>DATASETS</a:t>
          </a:r>
        </a:p>
      </xdr:txBody>
    </xdr:sp>
    <xdr:clientData/>
  </xdr:twoCellAnchor>
  <xdr:twoCellAnchor>
    <xdr:from>
      <xdr:col>7</xdr:col>
      <xdr:colOff>116681</xdr:colOff>
      <xdr:row>5</xdr:row>
      <xdr:rowOff>21432</xdr:rowOff>
    </xdr:from>
    <xdr:to>
      <xdr:col>9</xdr:col>
      <xdr:colOff>319087</xdr:colOff>
      <xdr:row>6</xdr:row>
      <xdr:rowOff>69058</xdr:rowOff>
    </xdr:to>
    <xdr:sp macro="" textlink="">
      <xdr:nvSpPr>
        <xdr:cNvPr id="50" name="TextBox 49">
          <a:extLst>
            <a:ext uri="{FF2B5EF4-FFF2-40B4-BE49-F238E27FC236}">
              <a16:creationId xmlns:a16="http://schemas.microsoft.com/office/drawing/2014/main" id="{D3BC5B23-1BCF-4BD0-B676-927F8370BC30}"/>
            </a:ext>
          </a:extLst>
        </xdr:cNvPr>
        <xdr:cNvSpPr txBox="1"/>
      </xdr:nvSpPr>
      <xdr:spPr>
        <a:xfrm>
          <a:off x="4367212" y="973932"/>
          <a:ext cx="1416844"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ahnschrift SemiBold" panose="020B0502040204020203" pitchFamily="34" charset="0"/>
            </a:rPr>
            <a:t>Total</a:t>
          </a:r>
          <a:r>
            <a:rPr lang="en-US" sz="1200" baseline="0">
              <a:solidFill>
                <a:schemeClr val="bg1"/>
              </a:solidFill>
              <a:latin typeface="Bahnschrift SemiBold" panose="020B0502040204020203" pitchFamily="34" charset="0"/>
            </a:rPr>
            <a:t> units sold</a:t>
          </a:r>
          <a:endParaRPr lang="en-US" sz="1200">
            <a:solidFill>
              <a:schemeClr val="bg1"/>
            </a:solidFill>
            <a:latin typeface="Bahnschrift SemiBold" panose="020B0502040204020203" pitchFamily="34" charset="0"/>
          </a:endParaRPr>
        </a:p>
      </xdr:txBody>
    </xdr:sp>
    <xdr:clientData/>
  </xdr:twoCellAnchor>
  <xdr:twoCellAnchor>
    <xdr:from>
      <xdr:col>10</xdr:col>
      <xdr:colOff>388143</xdr:colOff>
      <xdr:row>4</xdr:row>
      <xdr:rowOff>185738</xdr:rowOff>
    </xdr:from>
    <xdr:to>
      <xdr:col>12</xdr:col>
      <xdr:colOff>590550</xdr:colOff>
      <xdr:row>6</xdr:row>
      <xdr:rowOff>42864</xdr:rowOff>
    </xdr:to>
    <xdr:sp macro="" textlink="">
      <xdr:nvSpPr>
        <xdr:cNvPr id="51" name="TextBox 50">
          <a:extLst>
            <a:ext uri="{FF2B5EF4-FFF2-40B4-BE49-F238E27FC236}">
              <a16:creationId xmlns:a16="http://schemas.microsoft.com/office/drawing/2014/main" id="{DF90E122-0036-479E-82B0-FA6D29CBF718}"/>
            </a:ext>
          </a:extLst>
        </xdr:cNvPr>
        <xdr:cNvSpPr txBox="1"/>
      </xdr:nvSpPr>
      <xdr:spPr>
        <a:xfrm>
          <a:off x="6460331" y="947738"/>
          <a:ext cx="1416844"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ahnschrift SemiBold" panose="020B0502040204020203" pitchFamily="34" charset="0"/>
            </a:rPr>
            <a:t>Total</a:t>
          </a:r>
          <a:r>
            <a:rPr lang="en-US" sz="1200" baseline="0">
              <a:solidFill>
                <a:schemeClr val="bg1"/>
              </a:solidFill>
              <a:latin typeface="Bahnschrift SemiBold" panose="020B0502040204020203" pitchFamily="34" charset="0"/>
            </a:rPr>
            <a:t> Revenue</a:t>
          </a:r>
          <a:endParaRPr lang="en-US" sz="1200">
            <a:solidFill>
              <a:schemeClr val="bg1"/>
            </a:solidFill>
            <a:latin typeface="Bahnschrift SemiBold" panose="020B0502040204020203" pitchFamily="34" charset="0"/>
          </a:endParaRPr>
        </a:p>
      </xdr:txBody>
    </xdr:sp>
    <xdr:clientData/>
  </xdr:twoCellAnchor>
  <xdr:twoCellAnchor>
    <xdr:from>
      <xdr:col>13</xdr:col>
      <xdr:colOff>481011</xdr:colOff>
      <xdr:row>5</xdr:row>
      <xdr:rowOff>0</xdr:rowOff>
    </xdr:from>
    <xdr:to>
      <xdr:col>16</xdr:col>
      <xdr:colOff>309562</xdr:colOff>
      <xdr:row>6</xdr:row>
      <xdr:rowOff>88107</xdr:rowOff>
    </xdr:to>
    <xdr:sp macro="" textlink="">
      <xdr:nvSpPr>
        <xdr:cNvPr id="52" name="TextBox 51">
          <a:extLst>
            <a:ext uri="{FF2B5EF4-FFF2-40B4-BE49-F238E27FC236}">
              <a16:creationId xmlns:a16="http://schemas.microsoft.com/office/drawing/2014/main" id="{5D0A7581-0306-46E4-BC8C-CC66F201EB88}"/>
            </a:ext>
          </a:extLst>
        </xdr:cNvPr>
        <xdr:cNvSpPr txBox="1"/>
      </xdr:nvSpPr>
      <xdr:spPr>
        <a:xfrm>
          <a:off x="8374855" y="952500"/>
          <a:ext cx="1650207" cy="27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ahnschrift SemiBold" panose="020B0502040204020203" pitchFamily="34" charset="0"/>
            </a:rPr>
            <a:t>Average</a:t>
          </a:r>
          <a:r>
            <a:rPr lang="en-US" sz="1200" baseline="0">
              <a:solidFill>
                <a:schemeClr val="bg1"/>
              </a:solidFill>
              <a:latin typeface="Bahnschrift SemiBold" panose="020B0502040204020203" pitchFamily="34" charset="0"/>
            </a:rPr>
            <a:t> selling price</a:t>
          </a:r>
          <a:endParaRPr lang="en-US" sz="1200">
            <a:solidFill>
              <a:schemeClr val="bg1"/>
            </a:solidFill>
            <a:latin typeface="Bahnschrift SemiBold" panose="020B0502040204020203" pitchFamily="34" charset="0"/>
          </a:endParaRPr>
        </a:p>
      </xdr:txBody>
    </xdr:sp>
    <xdr:clientData/>
  </xdr:twoCellAnchor>
  <xdr:twoCellAnchor>
    <xdr:from>
      <xdr:col>7</xdr:col>
      <xdr:colOff>423864</xdr:colOff>
      <xdr:row>2</xdr:row>
      <xdr:rowOff>83344</xdr:rowOff>
    </xdr:from>
    <xdr:to>
      <xdr:col>9</xdr:col>
      <xdr:colOff>273844</xdr:colOff>
      <xdr:row>4</xdr:row>
      <xdr:rowOff>83344</xdr:rowOff>
    </xdr:to>
    <xdr:sp macro="" textlink="totalunit">
      <xdr:nvSpPr>
        <xdr:cNvPr id="53" name="TextBox 52">
          <a:extLst>
            <a:ext uri="{FF2B5EF4-FFF2-40B4-BE49-F238E27FC236}">
              <a16:creationId xmlns:a16="http://schemas.microsoft.com/office/drawing/2014/main" id="{27A36CF4-5ED2-4B23-8539-EF90F7800699}"/>
            </a:ext>
          </a:extLst>
        </xdr:cNvPr>
        <xdr:cNvSpPr txBox="1"/>
      </xdr:nvSpPr>
      <xdr:spPr>
        <a:xfrm>
          <a:off x="4674395" y="464344"/>
          <a:ext cx="106441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1FCED6-6A36-4A9E-A4A7-291472106696}" type="TxLink">
            <a:rPr lang="en-US" sz="2000" b="0" i="0" u="none" strike="noStrike">
              <a:solidFill>
                <a:schemeClr val="bg1">
                  <a:lumMod val="95000"/>
                </a:schemeClr>
              </a:solidFill>
              <a:latin typeface="Aptos Narrow"/>
            </a:rPr>
            <a:pPr/>
            <a:t>255</a:t>
          </a:fld>
          <a:endParaRPr lang="en-US" sz="2400">
            <a:solidFill>
              <a:schemeClr val="bg1">
                <a:lumMod val="95000"/>
              </a:schemeClr>
            </a:solidFill>
            <a:latin typeface="Bahnschrift SemiBold" panose="020B0502040204020203" pitchFamily="34" charset="0"/>
          </a:endParaRPr>
        </a:p>
      </xdr:txBody>
    </xdr:sp>
    <xdr:clientData/>
  </xdr:twoCellAnchor>
  <xdr:twoCellAnchor>
    <xdr:from>
      <xdr:col>10</xdr:col>
      <xdr:colOff>278606</xdr:colOff>
      <xdr:row>2</xdr:row>
      <xdr:rowOff>147639</xdr:rowOff>
    </xdr:from>
    <xdr:to>
      <xdr:col>12</xdr:col>
      <xdr:colOff>481013</xdr:colOff>
      <xdr:row>4</xdr:row>
      <xdr:rowOff>154781</xdr:rowOff>
    </xdr:to>
    <xdr:sp macro="" textlink="pricesum">
      <xdr:nvSpPr>
        <xdr:cNvPr id="54" name="TextBox 53">
          <a:extLst>
            <a:ext uri="{FF2B5EF4-FFF2-40B4-BE49-F238E27FC236}">
              <a16:creationId xmlns:a16="http://schemas.microsoft.com/office/drawing/2014/main" id="{54CCD44C-2D61-4EF4-93E9-1F050FCC1920}"/>
            </a:ext>
          </a:extLst>
        </xdr:cNvPr>
        <xdr:cNvSpPr txBox="1"/>
      </xdr:nvSpPr>
      <xdr:spPr>
        <a:xfrm>
          <a:off x="6350794" y="528639"/>
          <a:ext cx="1416844" cy="388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DF229D-EBE0-4A81-B2F1-DF22C783B64C}" type="TxLink">
            <a:rPr lang="en-US" sz="2000" b="0" i="0" u="none" strike="noStrike">
              <a:solidFill>
                <a:schemeClr val="bg1">
                  <a:lumMod val="95000"/>
                </a:schemeClr>
              </a:solidFill>
              <a:latin typeface="Aptos Narrow"/>
              <a:ea typeface="+mn-ea"/>
              <a:cs typeface="+mn-cs"/>
            </a:rPr>
            <a:pPr marL="0" indent="0"/>
            <a:t>8790076</a:t>
          </a:fld>
          <a:endParaRPr lang="en-US" sz="2000" b="0" i="0" u="none" strike="noStrike">
            <a:solidFill>
              <a:schemeClr val="bg1">
                <a:lumMod val="95000"/>
              </a:schemeClr>
            </a:solidFill>
            <a:latin typeface="Aptos Narrow"/>
            <a:ea typeface="+mn-ea"/>
            <a:cs typeface="+mn-cs"/>
          </a:endParaRPr>
        </a:p>
      </xdr:txBody>
    </xdr:sp>
    <xdr:clientData/>
  </xdr:twoCellAnchor>
  <xdr:twoCellAnchor>
    <xdr:from>
      <xdr:col>14</xdr:col>
      <xdr:colOff>61911</xdr:colOff>
      <xdr:row>3</xdr:row>
      <xdr:rowOff>26195</xdr:rowOff>
    </xdr:from>
    <xdr:to>
      <xdr:col>16</xdr:col>
      <xdr:colOff>264318</xdr:colOff>
      <xdr:row>4</xdr:row>
      <xdr:rowOff>154781</xdr:rowOff>
    </xdr:to>
    <xdr:sp macro="" textlink="avgprice">
      <xdr:nvSpPr>
        <xdr:cNvPr id="55" name="TextBox 54">
          <a:extLst>
            <a:ext uri="{FF2B5EF4-FFF2-40B4-BE49-F238E27FC236}">
              <a16:creationId xmlns:a16="http://schemas.microsoft.com/office/drawing/2014/main" id="{2921CC57-A61E-4B48-8890-37F0EDD2CE7E}"/>
            </a:ext>
          </a:extLst>
        </xdr:cNvPr>
        <xdr:cNvSpPr txBox="1"/>
      </xdr:nvSpPr>
      <xdr:spPr>
        <a:xfrm>
          <a:off x="8562974" y="597695"/>
          <a:ext cx="1416844" cy="319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D7F343-CF60-4FD5-96C2-DD9BBF210FDF}" type="TxLink">
            <a:rPr lang="en-US" sz="2000" b="0" i="0" u="none" strike="noStrike">
              <a:solidFill>
                <a:schemeClr val="bg1">
                  <a:lumMod val="95000"/>
                </a:schemeClr>
              </a:solidFill>
              <a:latin typeface="Aptos Narrow"/>
              <a:ea typeface="+mn-ea"/>
              <a:cs typeface="+mn-cs"/>
            </a:rPr>
            <a:pPr marL="0" indent="0"/>
            <a:t>34470.88627</a:t>
          </a:fld>
          <a:endParaRPr lang="en-US" sz="2000" b="0" i="0" u="none" strike="noStrike">
            <a:solidFill>
              <a:schemeClr val="bg1">
                <a:lumMod val="95000"/>
              </a:schemeClr>
            </a:solidFill>
            <a:latin typeface="Aptos Narrow"/>
            <a:ea typeface="+mn-ea"/>
            <a:cs typeface="+mn-cs"/>
          </a:endParaRPr>
        </a:p>
      </xdr:txBody>
    </xdr:sp>
    <xdr:clientData/>
  </xdr:twoCellAnchor>
  <xdr:twoCellAnchor>
    <xdr:from>
      <xdr:col>17</xdr:col>
      <xdr:colOff>414337</xdr:colOff>
      <xdr:row>3</xdr:row>
      <xdr:rowOff>23812</xdr:rowOff>
    </xdr:from>
    <xdr:to>
      <xdr:col>19</xdr:col>
      <xdr:colOff>440531</xdr:colOff>
      <xdr:row>4</xdr:row>
      <xdr:rowOff>178592</xdr:rowOff>
    </xdr:to>
    <xdr:sp macro="" textlink="km">
      <xdr:nvSpPr>
        <xdr:cNvPr id="56" name="TextBox 55">
          <a:extLst>
            <a:ext uri="{FF2B5EF4-FFF2-40B4-BE49-F238E27FC236}">
              <a16:creationId xmlns:a16="http://schemas.microsoft.com/office/drawing/2014/main" id="{5A3178BC-D514-4966-B8D7-1664311B6A5D}"/>
            </a:ext>
          </a:extLst>
        </xdr:cNvPr>
        <xdr:cNvSpPr txBox="1"/>
      </xdr:nvSpPr>
      <xdr:spPr>
        <a:xfrm>
          <a:off x="10737056" y="595312"/>
          <a:ext cx="1240631" cy="34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EDC7F0-8872-4D1F-93F6-2FBAE4071426}" type="TxLink">
            <a:rPr lang="en-US" sz="2000" b="0" i="0" u="none" strike="noStrike">
              <a:solidFill>
                <a:schemeClr val="bg1">
                  <a:lumMod val="95000"/>
                </a:schemeClr>
              </a:solidFill>
              <a:latin typeface="Aptos Narrow"/>
              <a:ea typeface="+mn-ea"/>
              <a:cs typeface="+mn-cs"/>
            </a:rPr>
            <a:pPr marL="0" indent="0"/>
            <a:t>14140965</a:t>
          </a:fld>
          <a:endParaRPr lang="en-US" sz="2000" b="0" i="0" u="none" strike="noStrike">
            <a:solidFill>
              <a:schemeClr val="bg1">
                <a:lumMod val="95000"/>
              </a:schemeClr>
            </a:solidFill>
            <a:latin typeface="Aptos Narrow"/>
            <a:ea typeface="+mn-ea"/>
            <a:cs typeface="+mn-cs"/>
          </a:endParaRPr>
        </a:p>
      </xdr:txBody>
    </xdr:sp>
    <xdr:clientData/>
  </xdr:twoCellAnchor>
  <xdr:twoCellAnchor>
    <xdr:from>
      <xdr:col>19</xdr:col>
      <xdr:colOff>247650</xdr:colOff>
      <xdr:row>3</xdr:row>
      <xdr:rowOff>71437</xdr:rowOff>
    </xdr:from>
    <xdr:to>
      <xdr:col>20</xdr:col>
      <xdr:colOff>83344</xdr:colOff>
      <xdr:row>4</xdr:row>
      <xdr:rowOff>116682</xdr:rowOff>
    </xdr:to>
    <xdr:sp macro="" textlink="">
      <xdr:nvSpPr>
        <xdr:cNvPr id="57" name="TextBox 56">
          <a:extLst>
            <a:ext uri="{FF2B5EF4-FFF2-40B4-BE49-F238E27FC236}">
              <a16:creationId xmlns:a16="http://schemas.microsoft.com/office/drawing/2014/main" id="{075E42EB-487F-40D6-ABE3-ECDB29AB2645}"/>
            </a:ext>
          </a:extLst>
        </xdr:cNvPr>
        <xdr:cNvSpPr txBox="1"/>
      </xdr:nvSpPr>
      <xdr:spPr>
        <a:xfrm>
          <a:off x="11784806" y="642937"/>
          <a:ext cx="442913" cy="235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ahnschrift SemiBold" panose="020B0502040204020203" pitchFamily="34" charset="0"/>
            </a:rPr>
            <a:t>KM</a:t>
          </a:r>
        </a:p>
      </xdr:txBody>
    </xdr:sp>
    <xdr:clientData/>
  </xdr:twoCellAnchor>
  <xdr:twoCellAnchor>
    <xdr:from>
      <xdr:col>6</xdr:col>
      <xdr:colOff>126205</xdr:colOff>
      <xdr:row>7</xdr:row>
      <xdr:rowOff>119062</xdr:rowOff>
    </xdr:from>
    <xdr:to>
      <xdr:col>9</xdr:col>
      <xdr:colOff>428624</xdr:colOff>
      <xdr:row>8</xdr:row>
      <xdr:rowOff>150020</xdr:rowOff>
    </xdr:to>
    <xdr:sp macro="" textlink="">
      <xdr:nvSpPr>
        <xdr:cNvPr id="58" name="TextBox 57">
          <a:extLst>
            <a:ext uri="{FF2B5EF4-FFF2-40B4-BE49-F238E27FC236}">
              <a16:creationId xmlns:a16="http://schemas.microsoft.com/office/drawing/2014/main" id="{36E2C718-B57E-4847-9FDB-3A21DD0D8372}"/>
            </a:ext>
          </a:extLst>
        </xdr:cNvPr>
        <xdr:cNvSpPr txBox="1"/>
      </xdr:nvSpPr>
      <xdr:spPr>
        <a:xfrm>
          <a:off x="3769518" y="1452562"/>
          <a:ext cx="2124075" cy="221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50000"/>
                  <a:lumOff val="50000"/>
                </a:schemeClr>
              </a:solidFill>
              <a:latin typeface="Bahnschrift SemiBold" panose="020B0502040204020203" pitchFamily="34" charset="0"/>
            </a:rPr>
            <a:t>Price</a:t>
          </a:r>
          <a:r>
            <a:rPr lang="en-US" sz="1200" baseline="0">
              <a:solidFill>
                <a:schemeClr val="tx1">
                  <a:lumMod val="50000"/>
                  <a:lumOff val="50000"/>
                </a:schemeClr>
              </a:solidFill>
              <a:latin typeface="Bahnschrift SemiBold" panose="020B0502040204020203" pitchFamily="34" charset="0"/>
            </a:rPr>
            <a:t> trend across years</a:t>
          </a:r>
          <a:endParaRPr lang="en-US" sz="1200">
            <a:solidFill>
              <a:schemeClr val="tx1">
                <a:lumMod val="50000"/>
                <a:lumOff val="50000"/>
              </a:schemeClr>
            </a:solidFill>
            <a:latin typeface="Bahnschrift SemiBold" panose="020B0502040204020203" pitchFamily="34" charset="0"/>
          </a:endParaRPr>
        </a:p>
      </xdr:txBody>
    </xdr:sp>
    <xdr:clientData/>
  </xdr:twoCellAnchor>
  <xdr:twoCellAnchor>
    <xdr:from>
      <xdr:col>6</xdr:col>
      <xdr:colOff>140494</xdr:colOff>
      <xdr:row>19</xdr:row>
      <xdr:rowOff>154781</xdr:rowOff>
    </xdr:from>
    <xdr:to>
      <xdr:col>9</xdr:col>
      <xdr:colOff>190499</xdr:colOff>
      <xdr:row>21</xdr:row>
      <xdr:rowOff>9527</xdr:rowOff>
    </xdr:to>
    <xdr:sp macro="" textlink="">
      <xdr:nvSpPr>
        <xdr:cNvPr id="59" name="TextBox 58">
          <a:extLst>
            <a:ext uri="{FF2B5EF4-FFF2-40B4-BE49-F238E27FC236}">
              <a16:creationId xmlns:a16="http://schemas.microsoft.com/office/drawing/2014/main" id="{9B620EC4-D717-4D95-99B1-9651B3A66BD8}"/>
            </a:ext>
          </a:extLst>
        </xdr:cNvPr>
        <xdr:cNvSpPr txBox="1"/>
      </xdr:nvSpPr>
      <xdr:spPr>
        <a:xfrm>
          <a:off x="3783807" y="3774281"/>
          <a:ext cx="1871661" cy="235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tx1">
                  <a:lumMod val="50000"/>
                  <a:lumOff val="50000"/>
                </a:schemeClr>
              </a:solidFill>
              <a:latin typeface="Bahnschrift SemiBold" panose="020B0502040204020203" pitchFamily="34" charset="0"/>
              <a:ea typeface="+mn-ea"/>
              <a:cs typeface="+mn-cs"/>
            </a:rPr>
            <a:t>Units sold by wheel</a:t>
          </a:r>
        </a:p>
      </xdr:txBody>
    </xdr:sp>
    <xdr:clientData/>
  </xdr:twoCellAnchor>
  <xdr:twoCellAnchor>
    <xdr:from>
      <xdr:col>16</xdr:col>
      <xdr:colOff>285750</xdr:colOff>
      <xdr:row>7</xdr:row>
      <xdr:rowOff>107155</xdr:rowOff>
    </xdr:from>
    <xdr:to>
      <xdr:col>18</xdr:col>
      <xdr:colOff>488156</xdr:colOff>
      <xdr:row>8</xdr:row>
      <xdr:rowOff>154781</xdr:rowOff>
    </xdr:to>
    <xdr:sp macro="" textlink="">
      <xdr:nvSpPr>
        <xdr:cNvPr id="60" name="TextBox 59">
          <a:extLst>
            <a:ext uri="{FF2B5EF4-FFF2-40B4-BE49-F238E27FC236}">
              <a16:creationId xmlns:a16="http://schemas.microsoft.com/office/drawing/2014/main" id="{1E422765-4BDC-47D4-B6D7-26D36CC340A6}"/>
            </a:ext>
          </a:extLst>
        </xdr:cNvPr>
        <xdr:cNvSpPr txBox="1"/>
      </xdr:nvSpPr>
      <xdr:spPr>
        <a:xfrm>
          <a:off x="10001250" y="1440655"/>
          <a:ext cx="1416844"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tx1">
                  <a:lumMod val="50000"/>
                  <a:lumOff val="50000"/>
                </a:schemeClr>
              </a:solidFill>
              <a:latin typeface="Bahnschrift SemiBold" panose="020B0502040204020203" pitchFamily="34" charset="0"/>
              <a:ea typeface="+mn-ea"/>
              <a:cs typeface="+mn-cs"/>
            </a:rPr>
            <a:t>Expensive brand</a:t>
          </a:r>
        </a:p>
      </xdr:txBody>
    </xdr:sp>
    <xdr:clientData/>
  </xdr:twoCellAnchor>
  <xdr:twoCellAnchor>
    <xdr:from>
      <xdr:col>10</xdr:col>
      <xdr:colOff>227409</xdr:colOff>
      <xdr:row>19</xdr:row>
      <xdr:rowOff>178593</xdr:rowOff>
    </xdr:from>
    <xdr:to>
      <xdr:col>13</xdr:col>
      <xdr:colOff>571499</xdr:colOff>
      <xdr:row>21</xdr:row>
      <xdr:rowOff>83343</xdr:rowOff>
    </xdr:to>
    <xdr:sp macro="" textlink="">
      <xdr:nvSpPr>
        <xdr:cNvPr id="61" name="TextBox 60">
          <a:extLst>
            <a:ext uri="{FF2B5EF4-FFF2-40B4-BE49-F238E27FC236}">
              <a16:creationId xmlns:a16="http://schemas.microsoft.com/office/drawing/2014/main" id="{18E65A1C-A4C2-474B-B46D-A6567B4C3785}"/>
            </a:ext>
          </a:extLst>
        </xdr:cNvPr>
        <xdr:cNvSpPr txBox="1"/>
      </xdr:nvSpPr>
      <xdr:spPr>
        <a:xfrm>
          <a:off x="6299597" y="3798093"/>
          <a:ext cx="216574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tx1">
                  <a:lumMod val="50000"/>
                  <a:lumOff val="50000"/>
                </a:schemeClr>
              </a:solidFill>
              <a:latin typeface="Bahnschrift SemiBold" panose="020B0502040204020203" pitchFamily="34" charset="0"/>
              <a:ea typeface="+mn-ea"/>
              <a:cs typeface="+mn-cs"/>
            </a:rPr>
            <a:t>Units sold by transmission</a:t>
          </a:r>
        </a:p>
      </xdr:txBody>
    </xdr:sp>
    <xdr:clientData/>
  </xdr:twoCellAnchor>
  <xdr:twoCellAnchor>
    <xdr:from>
      <xdr:col>14</xdr:col>
      <xdr:colOff>314327</xdr:colOff>
      <xdr:row>19</xdr:row>
      <xdr:rowOff>142875</xdr:rowOff>
    </xdr:from>
    <xdr:to>
      <xdr:col>17</xdr:col>
      <xdr:colOff>404812</xdr:colOff>
      <xdr:row>20</xdr:row>
      <xdr:rowOff>188121</xdr:rowOff>
    </xdr:to>
    <xdr:sp macro="" textlink="">
      <xdr:nvSpPr>
        <xdr:cNvPr id="62" name="TextBox 61">
          <a:extLst>
            <a:ext uri="{FF2B5EF4-FFF2-40B4-BE49-F238E27FC236}">
              <a16:creationId xmlns:a16="http://schemas.microsoft.com/office/drawing/2014/main" id="{8534DB55-E527-4958-9FF0-77A9AB4B14EE}"/>
            </a:ext>
          </a:extLst>
        </xdr:cNvPr>
        <xdr:cNvSpPr txBox="1"/>
      </xdr:nvSpPr>
      <xdr:spPr>
        <a:xfrm>
          <a:off x="8815390" y="3762375"/>
          <a:ext cx="1912141" cy="235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tx1">
                  <a:lumMod val="50000"/>
                  <a:lumOff val="50000"/>
                </a:schemeClr>
              </a:solidFill>
              <a:latin typeface="Bahnschrift SemiBold" panose="020B0502040204020203" pitchFamily="34" charset="0"/>
              <a:ea typeface="+mn-ea"/>
              <a:cs typeface="+mn-cs"/>
            </a:rPr>
            <a:t>Perfm by vehicle type</a:t>
          </a:r>
        </a:p>
      </xdr:txBody>
    </xdr:sp>
    <xdr:clientData/>
  </xdr:twoCellAnchor>
  <xdr:twoCellAnchor>
    <xdr:from>
      <xdr:col>6</xdr:col>
      <xdr:colOff>238124</xdr:colOff>
      <xdr:row>7</xdr:row>
      <xdr:rowOff>154781</xdr:rowOff>
    </xdr:from>
    <xdr:to>
      <xdr:col>16</xdr:col>
      <xdr:colOff>178594</xdr:colOff>
      <xdr:row>19</xdr:row>
      <xdr:rowOff>40480</xdr:rowOff>
    </xdr:to>
    <xdr:graphicFrame macro="">
      <xdr:nvGraphicFramePr>
        <xdr:cNvPr id="63" name="Chart 62">
          <a:extLst>
            <a:ext uri="{FF2B5EF4-FFF2-40B4-BE49-F238E27FC236}">
              <a16:creationId xmlns:a16="http://schemas.microsoft.com/office/drawing/2014/main" id="{E6B1C739-B34A-453A-93BC-7AFA53C95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369093</xdr:colOff>
      <xdr:row>8</xdr:row>
      <xdr:rowOff>119062</xdr:rowOff>
    </xdr:from>
    <xdr:to>
      <xdr:col>20</xdr:col>
      <xdr:colOff>190499</xdr:colOff>
      <xdr:row>19</xdr:row>
      <xdr:rowOff>11906</xdr:rowOff>
    </xdr:to>
    <xdr:graphicFrame macro="">
      <xdr:nvGraphicFramePr>
        <xdr:cNvPr id="64" name="Chart 63">
          <a:extLst>
            <a:ext uri="{FF2B5EF4-FFF2-40B4-BE49-F238E27FC236}">
              <a16:creationId xmlns:a16="http://schemas.microsoft.com/office/drawing/2014/main" id="{2DF6AF14-1845-4386-8931-0FBDA904B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202406</xdr:colOff>
      <xdr:row>20</xdr:row>
      <xdr:rowOff>11906</xdr:rowOff>
    </xdr:from>
    <xdr:to>
      <xdr:col>10</xdr:col>
      <xdr:colOff>95249</xdr:colOff>
      <xdr:row>31</xdr:row>
      <xdr:rowOff>119062</xdr:rowOff>
    </xdr:to>
    <xdr:graphicFrame macro="">
      <xdr:nvGraphicFramePr>
        <xdr:cNvPr id="65" name="Chart 64">
          <a:extLst>
            <a:ext uri="{FF2B5EF4-FFF2-40B4-BE49-F238E27FC236}">
              <a16:creationId xmlns:a16="http://schemas.microsoft.com/office/drawing/2014/main" id="{DF8B2608-C8BA-43A1-9FAC-133CFEA86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297655</xdr:colOff>
      <xdr:row>20</xdr:row>
      <xdr:rowOff>0</xdr:rowOff>
    </xdr:from>
    <xdr:to>
      <xdr:col>14</xdr:col>
      <xdr:colOff>119061</xdr:colOff>
      <xdr:row>31</xdr:row>
      <xdr:rowOff>83344</xdr:rowOff>
    </xdr:to>
    <xdr:graphicFrame macro="">
      <xdr:nvGraphicFramePr>
        <xdr:cNvPr id="66" name="Chart 65">
          <a:extLst>
            <a:ext uri="{FF2B5EF4-FFF2-40B4-BE49-F238E27FC236}">
              <a16:creationId xmlns:a16="http://schemas.microsoft.com/office/drawing/2014/main" id="{9B376C87-4DEE-4268-B606-5A94FFC99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321468</xdr:colOff>
      <xdr:row>20</xdr:row>
      <xdr:rowOff>0</xdr:rowOff>
    </xdr:from>
    <xdr:to>
      <xdr:col>20</xdr:col>
      <xdr:colOff>273844</xdr:colOff>
      <xdr:row>31</xdr:row>
      <xdr:rowOff>83344</xdr:rowOff>
    </xdr:to>
    <xdr:graphicFrame macro="">
      <xdr:nvGraphicFramePr>
        <xdr:cNvPr id="67" name="Chart 66">
          <a:extLst>
            <a:ext uri="{FF2B5EF4-FFF2-40B4-BE49-F238E27FC236}">
              <a16:creationId xmlns:a16="http://schemas.microsoft.com/office/drawing/2014/main" id="{1351BCFE-AF2A-4BA8-B4A0-D7E97544C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214313</xdr:colOff>
      <xdr:row>19</xdr:row>
      <xdr:rowOff>142875</xdr:rowOff>
    </xdr:from>
    <xdr:to>
      <xdr:col>6</xdr:col>
      <xdr:colOff>11906</xdr:colOff>
      <xdr:row>22</xdr:row>
      <xdr:rowOff>0</xdr:rowOff>
    </xdr:to>
    <mc:AlternateContent xmlns:mc="http://schemas.openxmlformats.org/markup-compatibility/2006">
      <mc:Choice xmlns:a14="http://schemas.microsoft.com/office/drawing/2010/main" Requires="a14">
        <xdr:graphicFrame macro="">
          <xdr:nvGraphicFramePr>
            <xdr:cNvPr id="13" name="vehicle_transmission">
              <a:extLst>
                <a:ext uri="{FF2B5EF4-FFF2-40B4-BE49-F238E27FC236}">
                  <a16:creationId xmlns:a16="http://schemas.microsoft.com/office/drawing/2014/main" id="{76674BFC-64A2-429E-B405-073738CFF492}"/>
                </a:ext>
              </a:extLst>
            </xdr:cNvPr>
            <xdr:cNvGraphicFramePr/>
          </xdr:nvGraphicFramePr>
          <xdr:xfrm>
            <a:off x="0" y="0"/>
            <a:ext cx="0" cy="0"/>
          </xdr:xfrm>
          <a:graphic>
            <a:graphicData uri="http://schemas.microsoft.com/office/drawing/2010/slicer">
              <sle:slicer xmlns:sle="http://schemas.microsoft.com/office/drawing/2010/slicer" name="vehicle_transmission"/>
            </a:graphicData>
          </a:graphic>
        </xdr:graphicFrame>
      </mc:Choice>
      <mc:Fallback>
        <xdr:sp macro="" textlink="">
          <xdr:nvSpPr>
            <xdr:cNvPr id="0" name=""/>
            <xdr:cNvSpPr>
              <a:spLocks noTextEdit="1"/>
            </xdr:cNvSpPr>
          </xdr:nvSpPr>
          <xdr:spPr>
            <a:xfrm>
              <a:off x="2035969" y="3762375"/>
              <a:ext cx="1619250"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LLAHI VCOOL" refreshedDate="45973.550332175924" createdVersion="8" refreshedVersion="8" minRefreshableVersion="3" recordCount="255" xr:uid="{7DADF2F4-E95E-4E79-A145-48A8F2FB7570}">
  <cacheSource type="worksheet">
    <worksheetSource name="used_cars_data_from_truecar_usa"/>
  </cacheSource>
  <cacheFields count="14">
    <cacheField name="Title" numFmtId="0">
      <sharedItems/>
    </cacheField>
    <cacheField name="model" numFmtId="0">
      <sharedItems count="147">
        <s v="Grand Cherokee"/>
        <s v="F-150"/>
        <s v="1500"/>
        <s v="Compass"/>
        <s v="Sequoia"/>
        <s v="Model 3"/>
        <s v="Arteon"/>
        <s v="Equinox"/>
        <s v="Range Rover Evoque"/>
        <s v="911"/>
        <s v="Sienna"/>
        <s v="Elantra"/>
        <s v="Murano"/>
        <s v="Charger"/>
        <s v="XC60"/>
        <s v="M5"/>
        <s v="FJ Cruiser"/>
        <s v="Rogue"/>
        <s v="Passport"/>
        <s v="Colorado"/>
        <s v="Trax"/>
        <s v="Silverado 2500HD"/>
        <s v="Camry"/>
        <s v="Ascent"/>
        <s v="Renegade"/>
        <s v="Accord"/>
        <s v="XT6"/>
        <s v="CC"/>
        <s v="Gladiator"/>
        <s v="Discovery"/>
        <s v="Wrangler"/>
        <s v="CR-V"/>
        <s v="Edge"/>
        <s v="Tahoe"/>
        <s v="RS Q8"/>
        <s v="Pilot"/>
        <s v="Grand Marquis"/>
        <s v="Golf GTI"/>
        <s v="GLC"/>
        <s v="Altima"/>
        <s v="Super Duty F-350"/>
        <s v="RAV4"/>
        <s v="Silverado 3500HD"/>
        <s v="Explorer"/>
        <s v="Rogue Sport"/>
        <s v="Savana Cargo Van"/>
        <s v="Stelvio"/>
        <s v="X3"/>
        <s v="Element"/>
        <s v="Sorento"/>
        <s v="California"/>
        <s v="3 Series"/>
        <s v="XC90"/>
        <s v="RLX"/>
        <s v="Tiguan"/>
        <s v="Encore"/>
        <s v="Grand Caravan"/>
        <s v="LR4"/>
        <s v="Acadia"/>
        <s v="Q50"/>
        <s v="Stinger"/>
        <s v="Titan"/>
        <s v="Pacifica"/>
        <s v="4Runner"/>
        <s v="Optima"/>
        <s v="Sedona"/>
        <s v="Tacoma"/>
        <s v="Silverado 1500"/>
        <s v="3500"/>
        <s v="Traverse"/>
        <s v="G-Class"/>
        <s v="Civic"/>
        <s v="Enclave"/>
        <s v="Jetta"/>
        <s v="Envision"/>
        <s v="ILX"/>
        <s v="Acadia Limited"/>
        <s v="Expedition"/>
        <s v="Continental"/>
        <s v="GLA"/>
        <s v="300"/>
        <s v="Mustang"/>
        <s v="Santa Fe Sport"/>
        <s v="CX-9"/>
        <s v="Fusion"/>
        <s v="Yukon"/>
        <s v="DTS"/>
        <s v="GLS"/>
        <s v="Highlander"/>
        <s v="Malibu"/>
        <s v="2500"/>
        <s v="Sierra 1500"/>
        <s v="Cherokee"/>
        <s v="QX60"/>
        <s v="QX80"/>
        <s v="GX"/>
        <s v="Maxima"/>
        <s v="Q60"/>
        <s v="Corolla"/>
        <s v="Corsair"/>
        <s v="XT5"/>
        <s v="Camaro"/>
        <s v="Silverado 1500 LTD"/>
        <s v="Kona"/>
        <s v="Range Rover"/>
        <s v="CX-5"/>
        <s v="GLB"/>
        <s v="GL"/>
        <s v="Impreza"/>
        <s v="1500 Classic"/>
        <s v="Mazda3"/>
        <s v="Sonata"/>
        <s v="Nautilus"/>
        <s v="MKZ"/>
        <s v="Forte"/>
        <s v="Atlas"/>
        <s v="GranTurismo"/>
        <s v="GS"/>
        <s v="Cruze"/>
        <s v="200"/>
        <s v="Cayenne"/>
        <s v="Liberty"/>
        <s v="Sierra 3500"/>
        <s v="CTS"/>
        <s v="Q7"/>
        <s v="CTS-V"/>
        <s v="Blazer"/>
        <s v="XE"/>
        <s v="S3"/>
        <s v="G"/>
        <s v="Versa"/>
        <s v="Corvette"/>
        <s v="Sportage"/>
        <s v="C-Class"/>
        <s v="Canyon"/>
        <s v="Express Cargo Van"/>
        <s v="Town &amp; Country"/>
        <s v="CLS"/>
        <s v="A4"/>
        <s v="CT6"/>
        <s v="ES"/>
        <s v="Tundra"/>
        <s v="F-TYPE"/>
        <s v="Q3"/>
        <s v="Santa Fe"/>
        <s v="Forester"/>
        <s v="ProMaster Cargo Van"/>
      </sharedItems>
    </cacheField>
    <cacheField name="price" numFmtId="164">
      <sharedItems containsSemiMixedTypes="0" containsString="0" containsNumber="1" containsInteger="1" minValue="4500" maxValue="239991"/>
    </cacheField>
    <cacheField name="currency" numFmtId="0">
      <sharedItems/>
    </cacheField>
    <cacheField name="Year" numFmtId="0">
      <sharedItems containsSemiMixedTypes="0" containsString="0" containsNumber="1" containsInteger="1" minValue="2003" maxValue="2022" count="18">
        <n v="2016"/>
        <n v="2014"/>
        <n v="2019"/>
        <n v="2020"/>
        <n v="2015"/>
        <n v="2017"/>
        <n v="2021"/>
        <n v="2012"/>
        <n v="2007"/>
        <n v="2018"/>
        <n v="2022"/>
        <n v="2010"/>
        <n v="2013"/>
        <n v="2003"/>
        <n v="2005"/>
        <n v="2011"/>
        <n v="2008"/>
        <n v="2004"/>
      </sharedItems>
    </cacheField>
    <cacheField name="brand" numFmtId="0">
      <sharedItems count="33">
        <s v="Jeep"/>
        <s v="Ford"/>
        <s v="Ram"/>
        <s v="Toyota"/>
        <s v="Tesla"/>
        <s v="Volkswagen"/>
        <s v="Chevrolet"/>
        <s v="Land Rover"/>
        <s v="Porsche"/>
        <s v="Hyundai"/>
        <s v="Nissan"/>
        <s v="Dodge"/>
        <s v="Volvo"/>
        <s v="BMW"/>
        <s v="Honda"/>
        <s v="Subaru"/>
        <s v="Cadillac"/>
        <s v="Audi"/>
        <s v="Mercury"/>
        <s v="Mercedes-Benz"/>
        <s v="GMC"/>
        <s v="Alfa Romeo"/>
        <s v="Kia"/>
        <s v="Ferrari"/>
        <s v="Acura"/>
        <s v="Buick"/>
        <s v="INFINITI"/>
        <s v="Chrysler"/>
        <s v="Lincoln"/>
        <s v="Mazda"/>
        <s v="Lexus"/>
        <s v="Maserati"/>
        <s v="Jaguar"/>
      </sharedItems>
    </cacheField>
    <cacheField name="category" numFmtId="0">
      <sharedItems count="8">
        <s v="SUV"/>
        <s v="Pickup Truck"/>
        <s v="Sedan"/>
        <s v="Hatchback"/>
        <s v="Convertible"/>
        <s v="Minivan"/>
        <s v="Cargo Van"/>
        <s v="Coupe"/>
      </sharedItems>
    </cacheField>
    <cacheField name="fuel_type" numFmtId="0">
      <sharedItems count="4">
        <s v="Gas"/>
        <s v="Electric"/>
        <s v="Diesel"/>
        <s v="Hybrid"/>
      </sharedItems>
    </cacheField>
    <cacheField name="vehicle_transmission" numFmtId="0">
      <sharedItems count="2">
        <s v="Automatic"/>
        <s v="Manual"/>
      </sharedItems>
    </cacheField>
    <cacheField name="engine" numFmtId="0">
      <sharedItems count="60">
        <s v="3.6L V-6 Gas"/>
        <s v="6.2L V-8 Gas"/>
        <s v="2.4L Inline-4 Gas"/>
        <s v="5.7L V-8 Gas"/>
        <s v="L - Electric"/>
        <s v="3.5L V-6 Gas Turbocharged"/>
        <s v="2.0L Inline-4 Gas Turbocharged"/>
        <s v="3.6L Flat-6 Gas"/>
        <s v="3.5L V-6 Gas"/>
        <s v="2.0L Inline-4 Gas"/>
        <s v="4.4L V-8 Gas Turbocharged"/>
        <s v="4.0L V-6 Gas"/>
        <s v="2.5L Inline-4 Gas"/>
        <s v="1.4L Inline-4 Gas Turbocharged"/>
        <s v="6.6L V-8 Gas"/>
        <s v="2.4L Flat-4 Gas Turbocharged"/>
        <s v="2.4L Inline-4 Gas Turbocharged"/>
        <s v="3.0L V-6 Gas Supercharged"/>
        <s v="2.0L V-4 Gas Turbocharged"/>
        <s v="1.5L Inline-4 Gas Turbocharged"/>
        <s v="5.3L V-8 Gas"/>
        <s v="4.0L V-8 Gas Turbocharged"/>
        <s v="4.6L V-8 Gas"/>
        <s v="3.0L V-6 Gas Turbocharged"/>
        <s v="6.7L V-8 Diesel Turbocharged"/>
        <s v="6.6L V-8 Diesel Turbocharged"/>
        <s v="2.3L V-4 Gas Turbocharged"/>
        <s v="6.0L V-8 Gas"/>
        <s v="3.0L Inline-6 Gas Turbocharged"/>
        <s v="2.3L Inline-4 Gas Turbocharged"/>
        <s v="4.3L V-8 Gas"/>
        <s v="2.0L Inline-4 Gas Supercharged and Turbocharged"/>
        <s v="3.0L Inline-6 Diesel Turbocharged"/>
        <s v="5.6L V-8 Gas"/>
        <s v="3.3L V-6 Gas"/>
        <s v="6.7L V-6 Diesel Turbocharged"/>
        <s v="2.7L V-6 Gas Turbocharged"/>
        <s v="5.0L V-8 Gas"/>
        <s v="2.5L Inline-4 Gas Turbocharged"/>
        <s v="3.3L V-6 Gas Turbocharged"/>
        <s v="5.0L V-8 Gas Twin-Turbo"/>
        <s v="1.8L Inline-4 Gas"/>
        <s v="3.6L V-6 Gas Turbocharged"/>
        <s v="5.3L Inline-8 Gas Turbocharged"/>
        <s v="2.4L Inline-4 Hybrid"/>
        <s v="3.0L Inline-6 Gas Supercharged and Turbocharged"/>
        <s v="4.7L V-8 Gas Turbocharged"/>
        <s v="2.0L Flat-4 Gas"/>
        <s v="3.0L V-6 Gas"/>
        <s v="4.7L V-8 Gas"/>
        <s v="2.8L V-4 Diesel Turbocharged"/>
        <s v="2.9L V-6 Gas Turbocharged"/>
        <s v="3.7L V-6 Gas"/>
        <s v="8.1L V-8 Gas"/>
        <s v="1.3L Inline-4 Gas Turbocharged"/>
        <s v="6.4L V-8 Gas"/>
        <s v="6.2L V-8 Gas Supercharged"/>
        <s v="1.6L Inline-4 Gas"/>
        <s v="4.3L V-6 Gas"/>
        <s v="2.5L Flat-4 Gas"/>
      </sharedItems>
    </cacheField>
    <cacheField name="total_km_driven" numFmtId="0">
      <sharedItems containsSemiMixedTypes="0" containsString="0" containsNumber="1" containsInteger="1" minValue="5" maxValue="216950"/>
    </cacheField>
    <cacheField name="wheel_configuration" numFmtId="0">
      <sharedItems count="4">
        <s v="4WD"/>
        <s v="RWD"/>
        <s v="AWD"/>
        <s v="FWD"/>
      </sharedItems>
    </cacheField>
    <cacheField name="source" numFmtId="0">
      <sharedItems/>
    </cacheField>
    <cacheField name="scraped_at" numFmtId="14">
      <sharedItems containsSemiMixedTypes="0" containsNonDate="0" containsDate="1" containsString="0" minDate="2022-07-13T00:00:00" maxDate="2022-07-14T00:00:00"/>
    </cacheField>
  </cacheFields>
  <extLst>
    <ext xmlns:x14="http://schemas.microsoft.com/office/spreadsheetml/2009/9/main" uri="{725AE2AE-9491-48be-B2B4-4EB974FC3084}">
      <x14:pivotCacheDefinition pivotCacheId="2017315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s v="2016 Jeep Grand Cherokee"/>
    <x v="0"/>
    <n v="21897"/>
    <s v="USD"/>
    <x v="0"/>
    <x v="0"/>
    <x v="0"/>
    <x v="0"/>
    <x v="0"/>
    <x v="0"/>
    <n v="94672"/>
    <x v="0"/>
    <s v="truecar"/>
    <d v="2022-07-13T00:00:00"/>
  </r>
  <r>
    <s v="2014 Ford F-150"/>
    <x v="1"/>
    <n v="33000"/>
    <s v="USD"/>
    <x v="1"/>
    <x v="1"/>
    <x v="1"/>
    <x v="0"/>
    <x v="0"/>
    <x v="1"/>
    <n v="55475"/>
    <x v="0"/>
    <s v="truecar"/>
    <d v="2022-07-13T00:00:00"/>
  </r>
  <r>
    <s v="2019 Ram 1500"/>
    <x v="2"/>
    <n v="39998"/>
    <s v="USD"/>
    <x v="2"/>
    <x v="2"/>
    <x v="1"/>
    <x v="0"/>
    <x v="0"/>
    <x v="0"/>
    <n v="22551"/>
    <x v="0"/>
    <s v="truecar"/>
    <d v="2022-07-13T00:00:00"/>
  </r>
  <r>
    <s v="2020 Jeep Compass"/>
    <x v="3"/>
    <n v="28455"/>
    <s v="USD"/>
    <x v="3"/>
    <x v="0"/>
    <x v="0"/>
    <x v="0"/>
    <x v="0"/>
    <x v="2"/>
    <n v="42961"/>
    <x v="0"/>
    <s v="truecar"/>
    <d v="2022-07-13T00:00:00"/>
  </r>
  <r>
    <s v="2015 Toyota Sequoia"/>
    <x v="4"/>
    <n v="31471"/>
    <s v="USD"/>
    <x v="4"/>
    <x v="3"/>
    <x v="0"/>
    <x v="0"/>
    <x v="0"/>
    <x v="3"/>
    <n v="106061"/>
    <x v="1"/>
    <s v="truecar"/>
    <d v="2022-07-13T00:00:00"/>
  </r>
  <r>
    <s v="2020 Tesla Model 3"/>
    <x v="5"/>
    <n v="64928"/>
    <s v="USD"/>
    <x v="3"/>
    <x v="4"/>
    <x v="2"/>
    <x v="1"/>
    <x v="0"/>
    <x v="4"/>
    <n v="19391"/>
    <x v="2"/>
    <s v="truecar"/>
    <d v="2022-07-13T00:00:00"/>
  </r>
  <r>
    <s v="2017 Ford F-150"/>
    <x v="1"/>
    <n v="37779"/>
    <s v="USD"/>
    <x v="5"/>
    <x v="1"/>
    <x v="1"/>
    <x v="0"/>
    <x v="0"/>
    <x v="5"/>
    <n v="52523"/>
    <x v="1"/>
    <s v="truecar"/>
    <d v="2022-07-13T00:00:00"/>
  </r>
  <r>
    <s v="2021 Volkswagen Arteon"/>
    <x v="6"/>
    <n v="40956"/>
    <s v="USD"/>
    <x v="6"/>
    <x v="5"/>
    <x v="3"/>
    <x v="0"/>
    <x v="0"/>
    <x v="6"/>
    <n v="11142"/>
    <x v="3"/>
    <s v="truecar"/>
    <d v="2022-07-13T00:00:00"/>
  </r>
  <r>
    <s v="2012 Chevrolet Equinox"/>
    <x v="7"/>
    <n v="9991"/>
    <s v="USD"/>
    <x v="7"/>
    <x v="6"/>
    <x v="0"/>
    <x v="0"/>
    <x v="0"/>
    <x v="2"/>
    <n v="140624"/>
    <x v="3"/>
    <s v="truecar"/>
    <d v="2022-07-13T00:00:00"/>
  </r>
  <r>
    <s v="2019 Toyota Sequoia"/>
    <x v="4"/>
    <n v="60559"/>
    <s v="USD"/>
    <x v="2"/>
    <x v="3"/>
    <x v="0"/>
    <x v="0"/>
    <x v="0"/>
    <x v="3"/>
    <n v="45996"/>
    <x v="0"/>
    <s v="truecar"/>
    <d v="2022-07-13T00:00:00"/>
  </r>
  <r>
    <s v="2020 Land Rover Range Rover Evoque"/>
    <x v="8"/>
    <n v="46998"/>
    <s v="USD"/>
    <x v="3"/>
    <x v="7"/>
    <x v="0"/>
    <x v="0"/>
    <x v="0"/>
    <x v="6"/>
    <n v="18040"/>
    <x v="2"/>
    <s v="truecar"/>
    <d v="2022-07-13T00:00:00"/>
  </r>
  <r>
    <s v="2007 Porsche 911"/>
    <x v="9"/>
    <n v="48998"/>
    <s v="USD"/>
    <x v="8"/>
    <x v="8"/>
    <x v="4"/>
    <x v="0"/>
    <x v="1"/>
    <x v="7"/>
    <n v="75347"/>
    <x v="1"/>
    <s v="truecar"/>
    <d v="2022-07-13T00:00:00"/>
  </r>
  <r>
    <s v="2019 Toyota Sienna"/>
    <x v="10"/>
    <n v="39000"/>
    <s v="USD"/>
    <x v="2"/>
    <x v="3"/>
    <x v="5"/>
    <x v="0"/>
    <x v="0"/>
    <x v="8"/>
    <n v="44437"/>
    <x v="3"/>
    <s v="truecar"/>
    <d v="2022-07-13T00:00:00"/>
  </r>
  <r>
    <s v="2018 Hyundai Elantra"/>
    <x v="11"/>
    <n v="16995"/>
    <s v="USD"/>
    <x v="9"/>
    <x v="9"/>
    <x v="2"/>
    <x v="0"/>
    <x v="0"/>
    <x v="9"/>
    <n v="61372"/>
    <x v="3"/>
    <s v="truecar"/>
    <d v="2022-07-13T00:00:00"/>
  </r>
  <r>
    <s v="2021 Nissan Murano"/>
    <x v="12"/>
    <n v="43997"/>
    <s v="USD"/>
    <x v="6"/>
    <x v="10"/>
    <x v="0"/>
    <x v="0"/>
    <x v="0"/>
    <x v="8"/>
    <n v="43"/>
    <x v="2"/>
    <s v="truecar"/>
    <d v="2022-07-13T00:00:00"/>
  </r>
  <r>
    <s v="2015 Dodge Charger"/>
    <x v="13"/>
    <n v="30000"/>
    <s v="USD"/>
    <x v="4"/>
    <x v="11"/>
    <x v="2"/>
    <x v="0"/>
    <x v="0"/>
    <x v="3"/>
    <n v="64202"/>
    <x v="1"/>
    <s v="truecar"/>
    <d v="2022-07-13T00:00:00"/>
  </r>
  <r>
    <s v="2022 Volvo XC60"/>
    <x v="14"/>
    <n v="46990"/>
    <s v="USD"/>
    <x v="10"/>
    <x v="12"/>
    <x v="0"/>
    <x v="0"/>
    <x v="0"/>
    <x v="6"/>
    <n v="6369"/>
    <x v="2"/>
    <s v="truecar"/>
    <d v="2022-07-13T00:00:00"/>
  </r>
  <r>
    <s v="2019 BMW M5"/>
    <x v="15"/>
    <n v="69888"/>
    <s v="USD"/>
    <x v="2"/>
    <x v="13"/>
    <x v="2"/>
    <x v="0"/>
    <x v="0"/>
    <x v="10"/>
    <n v="33452"/>
    <x v="2"/>
    <s v="truecar"/>
    <d v="2022-07-13T00:00:00"/>
  </r>
  <r>
    <s v="2010 Toyota FJ Cruiser"/>
    <x v="16"/>
    <n v="23892"/>
    <s v="USD"/>
    <x v="11"/>
    <x v="3"/>
    <x v="0"/>
    <x v="0"/>
    <x v="0"/>
    <x v="11"/>
    <n v="143548"/>
    <x v="0"/>
    <s v="truecar"/>
    <d v="2022-07-13T00:00:00"/>
  </r>
  <r>
    <s v="2014 Nissan Rogue"/>
    <x v="17"/>
    <n v="16900"/>
    <s v="USD"/>
    <x v="1"/>
    <x v="10"/>
    <x v="0"/>
    <x v="0"/>
    <x v="0"/>
    <x v="12"/>
    <n v="117167"/>
    <x v="3"/>
    <s v="truecar"/>
    <d v="2022-07-13T00:00:00"/>
  </r>
  <r>
    <s v="2019 Honda Passport"/>
    <x v="18"/>
    <n v="35322"/>
    <s v="USD"/>
    <x v="2"/>
    <x v="14"/>
    <x v="0"/>
    <x v="0"/>
    <x v="0"/>
    <x v="8"/>
    <n v="29888"/>
    <x v="2"/>
    <s v="truecar"/>
    <d v="2022-07-13T00:00:00"/>
  </r>
  <r>
    <s v="2015 Chevrolet Colorado"/>
    <x v="19"/>
    <n v="26505"/>
    <s v="USD"/>
    <x v="4"/>
    <x v="6"/>
    <x v="1"/>
    <x v="0"/>
    <x v="0"/>
    <x v="0"/>
    <n v="80352"/>
    <x v="0"/>
    <s v="truecar"/>
    <d v="2022-07-13T00:00:00"/>
  </r>
  <r>
    <s v="2014 Ram 1500"/>
    <x v="2"/>
    <n v="12400"/>
    <s v="USD"/>
    <x v="1"/>
    <x v="2"/>
    <x v="1"/>
    <x v="0"/>
    <x v="0"/>
    <x v="3"/>
    <n v="216950"/>
    <x v="1"/>
    <s v="truecar"/>
    <d v="2022-07-13T00:00:00"/>
  </r>
  <r>
    <s v="2016 Chevrolet Trax"/>
    <x v="20"/>
    <n v="16999"/>
    <s v="USD"/>
    <x v="0"/>
    <x v="6"/>
    <x v="0"/>
    <x v="0"/>
    <x v="0"/>
    <x v="13"/>
    <n v="32336"/>
    <x v="3"/>
    <s v="truecar"/>
    <d v="2022-07-13T00:00:00"/>
  </r>
  <r>
    <s v="2021 Chevrolet Silverado 2500HD"/>
    <x v="21"/>
    <n v="80250"/>
    <s v="USD"/>
    <x v="6"/>
    <x v="6"/>
    <x v="1"/>
    <x v="0"/>
    <x v="0"/>
    <x v="14"/>
    <n v="5771"/>
    <x v="0"/>
    <s v="truecar"/>
    <d v="2022-07-13T00:00:00"/>
  </r>
  <r>
    <s v="2017 Nissan Rogue"/>
    <x v="17"/>
    <n v="22900"/>
    <s v="USD"/>
    <x v="5"/>
    <x v="10"/>
    <x v="0"/>
    <x v="0"/>
    <x v="0"/>
    <x v="12"/>
    <n v="56087"/>
    <x v="3"/>
    <s v="truecar"/>
    <d v="2022-07-13T00:00:00"/>
  </r>
  <r>
    <s v="2019 Toyota Camry"/>
    <x v="22"/>
    <n v="29990"/>
    <s v="USD"/>
    <x v="2"/>
    <x v="3"/>
    <x v="2"/>
    <x v="0"/>
    <x v="0"/>
    <x v="12"/>
    <n v="13088"/>
    <x v="3"/>
    <s v="truecar"/>
    <d v="2022-07-13T00:00:00"/>
  </r>
  <r>
    <s v="2022 Subaru Ascent"/>
    <x v="23"/>
    <n v="42707"/>
    <s v="USD"/>
    <x v="10"/>
    <x v="15"/>
    <x v="0"/>
    <x v="0"/>
    <x v="0"/>
    <x v="15"/>
    <n v="8930"/>
    <x v="2"/>
    <s v="truecar"/>
    <d v="2022-07-13T00:00:00"/>
  </r>
  <r>
    <s v="2018 Jeep Renegade"/>
    <x v="24"/>
    <n v="20499"/>
    <s v="USD"/>
    <x v="9"/>
    <x v="0"/>
    <x v="0"/>
    <x v="0"/>
    <x v="0"/>
    <x v="16"/>
    <n v="39501"/>
    <x v="3"/>
    <s v="truecar"/>
    <d v="2022-07-13T00:00:00"/>
  </r>
  <r>
    <s v="2016 Honda Accord"/>
    <x v="25"/>
    <n v="22855"/>
    <s v="USD"/>
    <x v="0"/>
    <x v="14"/>
    <x v="2"/>
    <x v="0"/>
    <x v="0"/>
    <x v="8"/>
    <n v="98749"/>
    <x v="3"/>
    <s v="truecar"/>
    <d v="2022-07-13T00:00:00"/>
  </r>
  <r>
    <s v="2020 Cadillac XT6"/>
    <x v="26"/>
    <n v="51499"/>
    <s v="USD"/>
    <x v="3"/>
    <x v="16"/>
    <x v="0"/>
    <x v="0"/>
    <x v="0"/>
    <x v="0"/>
    <n v="25494"/>
    <x v="2"/>
    <s v="truecar"/>
    <d v="2022-07-13T00:00:00"/>
  </r>
  <r>
    <s v="2016 Volkswagen CC"/>
    <x v="27"/>
    <n v="14000"/>
    <s v="USD"/>
    <x v="0"/>
    <x v="5"/>
    <x v="2"/>
    <x v="0"/>
    <x v="0"/>
    <x v="6"/>
    <n v="106000"/>
    <x v="3"/>
    <s v="truecar"/>
    <d v="2022-07-13T00:00:00"/>
  </r>
  <r>
    <s v="2021 Jeep Gladiator"/>
    <x v="28"/>
    <n v="55796"/>
    <s v="USD"/>
    <x v="6"/>
    <x v="0"/>
    <x v="1"/>
    <x v="0"/>
    <x v="0"/>
    <x v="0"/>
    <n v="10488"/>
    <x v="0"/>
    <s v="truecar"/>
    <d v="2022-07-13T00:00:00"/>
  </r>
  <r>
    <s v="2020 Land Rover Discovery"/>
    <x v="29"/>
    <n v="44590"/>
    <s v="USD"/>
    <x v="3"/>
    <x v="7"/>
    <x v="0"/>
    <x v="0"/>
    <x v="0"/>
    <x v="17"/>
    <n v="35789"/>
    <x v="0"/>
    <s v="truecar"/>
    <d v="2022-07-13T00:00:00"/>
  </r>
  <r>
    <s v="2019 Toyota Camry"/>
    <x v="22"/>
    <n v="26564"/>
    <s v="USD"/>
    <x v="2"/>
    <x v="3"/>
    <x v="2"/>
    <x v="0"/>
    <x v="0"/>
    <x v="12"/>
    <n v="79901"/>
    <x v="3"/>
    <s v="truecar"/>
    <d v="2022-07-13T00:00:00"/>
  </r>
  <r>
    <s v="2020 Jeep Wrangler"/>
    <x v="30"/>
    <n v="38697"/>
    <s v="USD"/>
    <x v="3"/>
    <x v="0"/>
    <x v="0"/>
    <x v="0"/>
    <x v="0"/>
    <x v="18"/>
    <n v="46958"/>
    <x v="0"/>
    <s v="truecar"/>
    <d v="2022-07-13T00:00:00"/>
  </r>
  <r>
    <s v="2018 Honda CR-V"/>
    <x v="31"/>
    <n v="29590"/>
    <s v="USD"/>
    <x v="9"/>
    <x v="14"/>
    <x v="0"/>
    <x v="0"/>
    <x v="0"/>
    <x v="19"/>
    <n v="29327"/>
    <x v="2"/>
    <s v="truecar"/>
    <d v="2022-07-13T00:00:00"/>
  </r>
  <r>
    <s v="2020 Ford Edge"/>
    <x v="32"/>
    <n v="27425"/>
    <s v="USD"/>
    <x v="3"/>
    <x v="1"/>
    <x v="0"/>
    <x v="0"/>
    <x v="0"/>
    <x v="6"/>
    <n v="46575"/>
    <x v="3"/>
    <s v="truecar"/>
    <d v="2022-07-13T00:00:00"/>
  </r>
  <r>
    <s v="2013 Chevrolet Tahoe"/>
    <x v="33"/>
    <n v="22400"/>
    <s v="USD"/>
    <x v="12"/>
    <x v="6"/>
    <x v="0"/>
    <x v="0"/>
    <x v="0"/>
    <x v="20"/>
    <n v="158288"/>
    <x v="0"/>
    <s v="truecar"/>
    <d v="2022-07-13T00:00:00"/>
  </r>
  <r>
    <s v="2016 Honda CR-V"/>
    <x v="31"/>
    <n v="20900"/>
    <s v="USD"/>
    <x v="0"/>
    <x v="14"/>
    <x v="0"/>
    <x v="0"/>
    <x v="0"/>
    <x v="2"/>
    <n v="97908"/>
    <x v="2"/>
    <s v="truecar"/>
    <d v="2022-07-13T00:00:00"/>
  </r>
  <r>
    <s v="2020 Audi RS Q8"/>
    <x v="34"/>
    <n v="133991"/>
    <s v="USD"/>
    <x v="3"/>
    <x v="17"/>
    <x v="0"/>
    <x v="0"/>
    <x v="0"/>
    <x v="21"/>
    <n v="22218"/>
    <x v="2"/>
    <s v="truecar"/>
    <d v="2022-07-13T00:00:00"/>
  </r>
  <r>
    <s v="2020 Honda Pilot"/>
    <x v="35"/>
    <n v="42492"/>
    <s v="USD"/>
    <x v="3"/>
    <x v="14"/>
    <x v="0"/>
    <x v="0"/>
    <x v="0"/>
    <x v="8"/>
    <n v="18200"/>
    <x v="2"/>
    <s v="truecar"/>
    <d v="2022-07-13T00:00:00"/>
  </r>
  <r>
    <s v="2003 Mercury Grand Marquis"/>
    <x v="36"/>
    <n v="7999"/>
    <s v="USD"/>
    <x v="13"/>
    <x v="18"/>
    <x v="2"/>
    <x v="0"/>
    <x v="0"/>
    <x v="22"/>
    <n v="211508"/>
    <x v="1"/>
    <s v="truecar"/>
    <d v="2022-07-13T00:00:00"/>
  </r>
  <r>
    <s v="2018 Ram 1500"/>
    <x v="2"/>
    <n v="30992"/>
    <s v="USD"/>
    <x v="9"/>
    <x v="2"/>
    <x v="1"/>
    <x v="0"/>
    <x v="0"/>
    <x v="3"/>
    <n v="60470"/>
    <x v="0"/>
    <s v="truecar"/>
    <d v="2022-07-13T00:00:00"/>
  </r>
  <r>
    <s v="2021 Volkswagen Golf GTI"/>
    <x v="37"/>
    <n v="32993"/>
    <s v="USD"/>
    <x v="6"/>
    <x v="5"/>
    <x v="3"/>
    <x v="0"/>
    <x v="1"/>
    <x v="6"/>
    <n v="18720"/>
    <x v="3"/>
    <s v="truecar"/>
    <d v="2022-07-13T00:00:00"/>
  </r>
  <r>
    <s v="2018 Mercedes-Benz GLC"/>
    <x v="38"/>
    <n v="45998"/>
    <s v="USD"/>
    <x v="9"/>
    <x v="19"/>
    <x v="0"/>
    <x v="0"/>
    <x v="0"/>
    <x v="23"/>
    <n v="48456"/>
    <x v="2"/>
    <s v="truecar"/>
    <d v="2022-07-13T00:00:00"/>
  </r>
  <r>
    <s v="2021 Nissan Altima"/>
    <x v="39"/>
    <n v="30792"/>
    <s v="USD"/>
    <x v="6"/>
    <x v="10"/>
    <x v="2"/>
    <x v="0"/>
    <x v="0"/>
    <x v="6"/>
    <n v="5"/>
    <x v="3"/>
    <s v="truecar"/>
    <d v="2022-07-13T00:00:00"/>
  </r>
  <r>
    <s v="2019 Ford Super Duty F-350"/>
    <x v="40"/>
    <n v="59975"/>
    <s v="USD"/>
    <x v="2"/>
    <x v="1"/>
    <x v="1"/>
    <x v="2"/>
    <x v="0"/>
    <x v="24"/>
    <n v="92352"/>
    <x v="0"/>
    <s v="truecar"/>
    <d v="2022-07-13T00:00:00"/>
  </r>
  <r>
    <s v="2018 Toyota RAV4"/>
    <x v="41"/>
    <n v="24280"/>
    <s v="USD"/>
    <x v="9"/>
    <x v="3"/>
    <x v="0"/>
    <x v="0"/>
    <x v="0"/>
    <x v="12"/>
    <n v="67641"/>
    <x v="3"/>
    <s v="truecar"/>
    <d v="2022-07-13T00:00:00"/>
  </r>
  <r>
    <s v="2013 Chevrolet Silverado 3500HD"/>
    <x v="42"/>
    <n v="49997"/>
    <s v="USD"/>
    <x v="12"/>
    <x v="6"/>
    <x v="1"/>
    <x v="2"/>
    <x v="0"/>
    <x v="25"/>
    <n v="83133"/>
    <x v="0"/>
    <s v="truecar"/>
    <d v="2022-07-13T00:00:00"/>
  </r>
  <r>
    <s v="2019 Ford Explorer"/>
    <x v="43"/>
    <n v="28995"/>
    <s v="USD"/>
    <x v="2"/>
    <x v="1"/>
    <x v="0"/>
    <x v="0"/>
    <x v="0"/>
    <x v="26"/>
    <n v="81681"/>
    <x v="3"/>
    <s v="truecar"/>
    <d v="2022-07-13T00:00:00"/>
  </r>
  <r>
    <s v="2018 Nissan Rogue Sport"/>
    <x v="44"/>
    <n v="20997"/>
    <s v="USD"/>
    <x v="9"/>
    <x v="10"/>
    <x v="0"/>
    <x v="0"/>
    <x v="0"/>
    <x v="9"/>
    <n v="54181"/>
    <x v="3"/>
    <s v="truecar"/>
    <d v="2022-07-13T00:00:00"/>
  </r>
  <r>
    <s v="2020 GMC Savana Cargo Van"/>
    <x v="45"/>
    <n v="37863"/>
    <s v="USD"/>
    <x v="3"/>
    <x v="20"/>
    <x v="6"/>
    <x v="0"/>
    <x v="0"/>
    <x v="27"/>
    <n v="68813"/>
    <x v="1"/>
    <s v="truecar"/>
    <d v="2022-07-13T00:00:00"/>
  </r>
  <r>
    <s v="2021 Alfa Romeo Stelvio"/>
    <x v="46"/>
    <n v="45750"/>
    <s v="USD"/>
    <x v="6"/>
    <x v="21"/>
    <x v="0"/>
    <x v="0"/>
    <x v="0"/>
    <x v="6"/>
    <n v="6163"/>
    <x v="2"/>
    <s v="truecar"/>
    <d v="2022-07-13T00:00:00"/>
  </r>
  <r>
    <s v="2015 BMW X3"/>
    <x v="47"/>
    <n v="20995"/>
    <s v="USD"/>
    <x v="4"/>
    <x v="13"/>
    <x v="0"/>
    <x v="0"/>
    <x v="0"/>
    <x v="28"/>
    <n v="93000"/>
    <x v="2"/>
    <s v="truecar"/>
    <d v="2022-07-13T00:00:00"/>
  </r>
  <r>
    <s v="2005 Honda Element"/>
    <x v="48"/>
    <n v="10900"/>
    <s v="USD"/>
    <x v="14"/>
    <x v="14"/>
    <x v="0"/>
    <x v="0"/>
    <x v="0"/>
    <x v="2"/>
    <n v="145055"/>
    <x v="0"/>
    <s v="truecar"/>
    <d v="2022-07-13T00:00:00"/>
  </r>
  <r>
    <s v="2017 Kia Sorento"/>
    <x v="49"/>
    <n v="19450"/>
    <s v="USD"/>
    <x v="5"/>
    <x v="22"/>
    <x v="0"/>
    <x v="0"/>
    <x v="0"/>
    <x v="6"/>
    <n v="103131"/>
    <x v="2"/>
    <s v="truecar"/>
    <d v="2022-07-13T00:00:00"/>
  </r>
  <r>
    <s v="2020 Ford Explorer"/>
    <x v="43"/>
    <n v="38676"/>
    <s v="USD"/>
    <x v="3"/>
    <x v="1"/>
    <x v="0"/>
    <x v="0"/>
    <x v="0"/>
    <x v="29"/>
    <n v="19327"/>
    <x v="0"/>
    <s v="truecar"/>
    <d v="2022-07-13T00:00:00"/>
  </r>
  <r>
    <s v="2010 Ferrari California"/>
    <x v="50"/>
    <n v="111880"/>
    <s v="USD"/>
    <x v="11"/>
    <x v="23"/>
    <x v="4"/>
    <x v="0"/>
    <x v="1"/>
    <x v="30"/>
    <n v="17761"/>
    <x v="1"/>
    <s v="truecar"/>
    <d v="2022-07-13T00:00:00"/>
  </r>
  <r>
    <s v="2013 Toyota RAV4"/>
    <x v="41"/>
    <n v="17995"/>
    <s v="USD"/>
    <x v="12"/>
    <x v="3"/>
    <x v="0"/>
    <x v="0"/>
    <x v="0"/>
    <x v="12"/>
    <n v="98258"/>
    <x v="3"/>
    <s v="truecar"/>
    <d v="2022-07-13T00:00:00"/>
  </r>
  <r>
    <s v="2021 Nissan Rogue"/>
    <x v="17"/>
    <n v="32458"/>
    <s v="USD"/>
    <x v="6"/>
    <x v="10"/>
    <x v="0"/>
    <x v="0"/>
    <x v="0"/>
    <x v="12"/>
    <n v="11717"/>
    <x v="3"/>
    <s v="truecar"/>
    <d v="2022-07-13T00:00:00"/>
  </r>
  <r>
    <s v="2015 BMW 3 Series"/>
    <x v="51"/>
    <n v="19995"/>
    <s v="USD"/>
    <x v="4"/>
    <x v="13"/>
    <x v="2"/>
    <x v="0"/>
    <x v="0"/>
    <x v="28"/>
    <n v="70744"/>
    <x v="2"/>
    <s v="truecar"/>
    <d v="2022-07-13T00:00:00"/>
  </r>
  <r>
    <s v="2021 Toyota Camry"/>
    <x v="22"/>
    <n v="28991"/>
    <s v="USD"/>
    <x v="6"/>
    <x v="3"/>
    <x v="2"/>
    <x v="0"/>
    <x v="0"/>
    <x v="12"/>
    <n v="20939"/>
    <x v="3"/>
    <s v="truecar"/>
    <d v="2022-07-13T00:00:00"/>
  </r>
  <r>
    <s v="2020 Volvo XC90"/>
    <x v="52"/>
    <n v="43491"/>
    <s v="USD"/>
    <x v="3"/>
    <x v="12"/>
    <x v="0"/>
    <x v="0"/>
    <x v="0"/>
    <x v="31"/>
    <n v="10491"/>
    <x v="2"/>
    <s v="truecar"/>
    <d v="2022-07-13T00:00:00"/>
  </r>
  <r>
    <s v="2014 Acura RLX"/>
    <x v="53"/>
    <n v="25203"/>
    <s v="USD"/>
    <x v="1"/>
    <x v="24"/>
    <x v="2"/>
    <x v="0"/>
    <x v="0"/>
    <x v="8"/>
    <n v="58544"/>
    <x v="3"/>
    <s v="truecar"/>
    <d v="2022-07-13T00:00:00"/>
  </r>
  <r>
    <s v="2019 Jeep Wrangler"/>
    <x v="30"/>
    <n v="49981"/>
    <s v="USD"/>
    <x v="2"/>
    <x v="0"/>
    <x v="0"/>
    <x v="0"/>
    <x v="1"/>
    <x v="0"/>
    <n v="28357"/>
    <x v="0"/>
    <s v="truecar"/>
    <d v="2022-07-13T00:00:00"/>
  </r>
  <r>
    <s v="2021 Volkswagen Tiguan"/>
    <x v="54"/>
    <n v="31995"/>
    <s v="USD"/>
    <x v="6"/>
    <x v="5"/>
    <x v="0"/>
    <x v="0"/>
    <x v="0"/>
    <x v="6"/>
    <n v="7877"/>
    <x v="3"/>
    <s v="truecar"/>
    <d v="2022-07-13T00:00:00"/>
  </r>
  <r>
    <s v="2018 Buick Encore"/>
    <x v="55"/>
    <n v="15788"/>
    <s v="USD"/>
    <x v="9"/>
    <x v="25"/>
    <x v="0"/>
    <x v="0"/>
    <x v="0"/>
    <x v="13"/>
    <n v="112864"/>
    <x v="3"/>
    <s v="truecar"/>
    <d v="2022-07-13T00:00:00"/>
  </r>
  <r>
    <s v="2019 Dodge Grand Caravan"/>
    <x v="56"/>
    <n v="20995"/>
    <s v="USD"/>
    <x v="2"/>
    <x v="11"/>
    <x v="5"/>
    <x v="0"/>
    <x v="0"/>
    <x v="0"/>
    <n v="49727"/>
    <x v="3"/>
    <s v="truecar"/>
    <d v="2022-07-13T00:00:00"/>
  </r>
  <r>
    <s v="2018 Ford F-150"/>
    <x v="1"/>
    <n v="38900"/>
    <s v="USD"/>
    <x v="9"/>
    <x v="1"/>
    <x v="1"/>
    <x v="0"/>
    <x v="0"/>
    <x v="5"/>
    <n v="92863"/>
    <x v="0"/>
    <s v="truecar"/>
    <d v="2022-07-13T00:00:00"/>
  </r>
  <r>
    <s v="2021 Ram 1500"/>
    <x v="2"/>
    <n v="56845"/>
    <s v="USD"/>
    <x v="6"/>
    <x v="2"/>
    <x v="1"/>
    <x v="0"/>
    <x v="0"/>
    <x v="3"/>
    <n v="19310"/>
    <x v="0"/>
    <s v="truecar"/>
    <d v="2022-07-13T00:00:00"/>
  </r>
  <r>
    <s v="2015 Land Rover LR4"/>
    <x v="57"/>
    <n v="32998"/>
    <s v="USD"/>
    <x v="4"/>
    <x v="7"/>
    <x v="0"/>
    <x v="0"/>
    <x v="0"/>
    <x v="17"/>
    <n v="102671"/>
    <x v="0"/>
    <s v="truecar"/>
    <d v="2022-07-13T00:00:00"/>
  </r>
  <r>
    <s v="2017 GMC Acadia"/>
    <x v="58"/>
    <n v="28885"/>
    <s v="USD"/>
    <x v="5"/>
    <x v="20"/>
    <x v="0"/>
    <x v="0"/>
    <x v="0"/>
    <x v="0"/>
    <n v="93585"/>
    <x v="3"/>
    <s v="truecar"/>
    <d v="2022-07-13T00:00:00"/>
  </r>
  <r>
    <s v="2019 INFINITI Q50"/>
    <x v="59"/>
    <n v="29984"/>
    <s v="USD"/>
    <x v="2"/>
    <x v="26"/>
    <x v="2"/>
    <x v="0"/>
    <x v="0"/>
    <x v="23"/>
    <n v="26803"/>
    <x v="1"/>
    <s v="truecar"/>
    <d v="2022-07-13T00:00:00"/>
  </r>
  <r>
    <s v="2019 Nissan Rogue Sport"/>
    <x v="44"/>
    <n v="25774"/>
    <s v="USD"/>
    <x v="2"/>
    <x v="10"/>
    <x v="0"/>
    <x v="0"/>
    <x v="0"/>
    <x v="9"/>
    <n v="7118"/>
    <x v="2"/>
    <s v="truecar"/>
    <d v="2022-07-13T00:00:00"/>
  </r>
  <r>
    <s v="2010 BMW 3 Series"/>
    <x v="51"/>
    <n v="15487"/>
    <s v="USD"/>
    <x v="11"/>
    <x v="13"/>
    <x v="2"/>
    <x v="2"/>
    <x v="0"/>
    <x v="32"/>
    <n v="126314"/>
    <x v="1"/>
    <s v="truecar"/>
    <d v="2022-07-13T00:00:00"/>
  </r>
  <r>
    <s v="2021 Kia Stinger"/>
    <x v="60"/>
    <n v="34397"/>
    <s v="USD"/>
    <x v="6"/>
    <x v="22"/>
    <x v="3"/>
    <x v="0"/>
    <x v="0"/>
    <x v="6"/>
    <n v="44180"/>
    <x v="1"/>
    <s v="truecar"/>
    <d v="2022-07-13T00:00:00"/>
  </r>
  <r>
    <s v="2017 Hyundai Elantra"/>
    <x v="11"/>
    <n v="15590"/>
    <s v="USD"/>
    <x v="5"/>
    <x v="9"/>
    <x v="2"/>
    <x v="0"/>
    <x v="0"/>
    <x v="9"/>
    <n v="102837"/>
    <x v="3"/>
    <s v="truecar"/>
    <d v="2022-07-13T00:00:00"/>
  </r>
  <r>
    <s v="2012 Nissan Titan"/>
    <x v="61"/>
    <n v="17989"/>
    <s v="USD"/>
    <x v="7"/>
    <x v="10"/>
    <x v="1"/>
    <x v="0"/>
    <x v="0"/>
    <x v="33"/>
    <n v="156085"/>
    <x v="0"/>
    <s v="truecar"/>
    <d v="2022-07-13T00:00:00"/>
  </r>
  <r>
    <s v="2017 Chrysler Pacifica"/>
    <x v="62"/>
    <n v="34590"/>
    <s v="USD"/>
    <x v="5"/>
    <x v="27"/>
    <x v="5"/>
    <x v="0"/>
    <x v="0"/>
    <x v="0"/>
    <n v="25078"/>
    <x v="3"/>
    <s v="truecar"/>
    <d v="2022-07-13T00:00:00"/>
  </r>
  <r>
    <s v="2022 Toyota 4Runner"/>
    <x v="63"/>
    <n v="65995"/>
    <s v="USD"/>
    <x v="10"/>
    <x v="3"/>
    <x v="0"/>
    <x v="0"/>
    <x v="0"/>
    <x v="11"/>
    <n v="4864"/>
    <x v="0"/>
    <s v="truecar"/>
    <d v="2022-07-13T00:00:00"/>
  </r>
  <r>
    <s v="2018 Jeep Compass"/>
    <x v="3"/>
    <n v="25590"/>
    <s v="USD"/>
    <x v="9"/>
    <x v="0"/>
    <x v="0"/>
    <x v="0"/>
    <x v="0"/>
    <x v="2"/>
    <n v="23928"/>
    <x v="3"/>
    <s v="truecar"/>
    <d v="2022-07-13T00:00:00"/>
  </r>
  <r>
    <s v="2019 Kia Optima"/>
    <x v="64"/>
    <n v="15995"/>
    <s v="USD"/>
    <x v="2"/>
    <x v="22"/>
    <x v="2"/>
    <x v="0"/>
    <x v="0"/>
    <x v="2"/>
    <n v="110694"/>
    <x v="3"/>
    <s v="truecar"/>
    <d v="2022-07-13T00:00:00"/>
  </r>
  <r>
    <s v="2016 Kia Sedona"/>
    <x v="65"/>
    <n v="17973"/>
    <s v="USD"/>
    <x v="0"/>
    <x v="22"/>
    <x v="5"/>
    <x v="0"/>
    <x v="0"/>
    <x v="34"/>
    <n v="95037"/>
    <x v="3"/>
    <s v="truecar"/>
    <d v="2022-07-13T00:00:00"/>
  </r>
  <r>
    <s v="2020 Toyota Tacoma"/>
    <x v="66"/>
    <n v="44395"/>
    <s v="USD"/>
    <x v="3"/>
    <x v="3"/>
    <x v="1"/>
    <x v="0"/>
    <x v="0"/>
    <x v="8"/>
    <n v="27806"/>
    <x v="0"/>
    <s v="truecar"/>
    <d v="2022-07-13T00:00:00"/>
  </r>
  <r>
    <s v="2015 Chevrolet Silverado 1500"/>
    <x v="67"/>
    <n v="28499"/>
    <s v="USD"/>
    <x v="4"/>
    <x v="6"/>
    <x v="1"/>
    <x v="0"/>
    <x v="0"/>
    <x v="20"/>
    <n v="109316"/>
    <x v="0"/>
    <s v="truecar"/>
    <d v="2022-07-13T00:00:00"/>
  </r>
  <r>
    <s v="2019 Nissan Altima"/>
    <x v="39"/>
    <n v="25997"/>
    <s v="USD"/>
    <x v="2"/>
    <x v="10"/>
    <x v="2"/>
    <x v="0"/>
    <x v="0"/>
    <x v="12"/>
    <n v="58248"/>
    <x v="3"/>
    <s v="truecar"/>
    <d v="2022-07-13T00:00:00"/>
  </r>
  <r>
    <s v="2021 Ram 3500"/>
    <x v="68"/>
    <n v="76511"/>
    <s v="USD"/>
    <x v="6"/>
    <x v="2"/>
    <x v="1"/>
    <x v="2"/>
    <x v="0"/>
    <x v="35"/>
    <n v="8317"/>
    <x v="0"/>
    <s v="truecar"/>
    <d v="2022-07-13T00:00:00"/>
  </r>
  <r>
    <s v="2021 Chevrolet Traverse"/>
    <x v="69"/>
    <n v="46250"/>
    <s v="USD"/>
    <x v="6"/>
    <x v="6"/>
    <x v="0"/>
    <x v="0"/>
    <x v="0"/>
    <x v="0"/>
    <n v="11338"/>
    <x v="2"/>
    <s v="truecar"/>
    <d v="2022-07-13T00:00:00"/>
  </r>
  <r>
    <s v="2021 Mercedes-Benz G-Class"/>
    <x v="70"/>
    <n v="239991"/>
    <s v="USD"/>
    <x v="6"/>
    <x v="19"/>
    <x v="0"/>
    <x v="0"/>
    <x v="0"/>
    <x v="21"/>
    <n v="54"/>
    <x v="2"/>
    <s v="truecar"/>
    <d v="2022-07-13T00:00:00"/>
  </r>
  <r>
    <s v="2021 BMW 3 Series"/>
    <x v="51"/>
    <n v="56998"/>
    <s v="USD"/>
    <x v="6"/>
    <x v="13"/>
    <x v="2"/>
    <x v="0"/>
    <x v="0"/>
    <x v="28"/>
    <n v="14999"/>
    <x v="2"/>
    <s v="truecar"/>
    <d v="2022-07-13T00:00:00"/>
  </r>
  <r>
    <s v="2022 Honda Civic"/>
    <x v="71"/>
    <n v="32997"/>
    <s v="USD"/>
    <x v="10"/>
    <x v="14"/>
    <x v="2"/>
    <x v="0"/>
    <x v="0"/>
    <x v="9"/>
    <n v="2697"/>
    <x v="3"/>
    <s v="truecar"/>
    <d v="2022-07-13T00:00:00"/>
  </r>
  <r>
    <s v="2015 Buick Enclave"/>
    <x v="72"/>
    <n v="18703"/>
    <s v="USD"/>
    <x v="4"/>
    <x v="25"/>
    <x v="0"/>
    <x v="0"/>
    <x v="0"/>
    <x v="0"/>
    <n v="118835"/>
    <x v="2"/>
    <s v="truecar"/>
    <d v="2022-07-13T00:00:00"/>
  </r>
  <r>
    <s v="2018 Ford Edge"/>
    <x v="32"/>
    <n v="29958"/>
    <s v="USD"/>
    <x v="9"/>
    <x v="1"/>
    <x v="0"/>
    <x v="0"/>
    <x v="0"/>
    <x v="6"/>
    <n v="32013"/>
    <x v="2"/>
    <s v="truecar"/>
    <d v="2022-07-13T00:00:00"/>
  </r>
  <r>
    <s v="2020 Toyota RAV4"/>
    <x v="41"/>
    <n v="27967"/>
    <s v="USD"/>
    <x v="3"/>
    <x v="3"/>
    <x v="0"/>
    <x v="0"/>
    <x v="0"/>
    <x v="12"/>
    <n v="63145"/>
    <x v="3"/>
    <s v="truecar"/>
    <d v="2022-07-13T00:00:00"/>
  </r>
  <r>
    <s v="2018 Volkswagen Jetta"/>
    <x v="73"/>
    <n v="17737"/>
    <s v="USD"/>
    <x v="9"/>
    <x v="5"/>
    <x v="2"/>
    <x v="0"/>
    <x v="0"/>
    <x v="13"/>
    <n v="60783"/>
    <x v="3"/>
    <s v="truecar"/>
    <d v="2022-07-13T00:00:00"/>
  </r>
  <r>
    <s v="2019 Honda Pilot"/>
    <x v="35"/>
    <n v="36495"/>
    <s v="USD"/>
    <x v="2"/>
    <x v="14"/>
    <x v="0"/>
    <x v="0"/>
    <x v="0"/>
    <x v="8"/>
    <n v="29211"/>
    <x v="2"/>
    <s v="truecar"/>
    <d v="2022-07-13T00:00:00"/>
  </r>
  <r>
    <s v="2016 GMC Acadia"/>
    <x v="58"/>
    <n v="19191"/>
    <s v="USD"/>
    <x v="0"/>
    <x v="20"/>
    <x v="0"/>
    <x v="0"/>
    <x v="0"/>
    <x v="0"/>
    <n v="61714"/>
    <x v="3"/>
    <s v="truecar"/>
    <d v="2022-07-13T00:00:00"/>
  </r>
  <r>
    <s v="2011 Chevrolet Tahoe"/>
    <x v="33"/>
    <n v="24990"/>
    <s v="USD"/>
    <x v="15"/>
    <x v="6"/>
    <x v="0"/>
    <x v="0"/>
    <x v="0"/>
    <x v="20"/>
    <n v="89028"/>
    <x v="1"/>
    <s v="truecar"/>
    <d v="2022-07-13T00:00:00"/>
  </r>
  <r>
    <s v="2015 Ford F-150"/>
    <x v="1"/>
    <n v="32990"/>
    <s v="USD"/>
    <x v="4"/>
    <x v="1"/>
    <x v="1"/>
    <x v="0"/>
    <x v="0"/>
    <x v="36"/>
    <n v="59691"/>
    <x v="0"/>
    <s v="truecar"/>
    <d v="2022-07-13T00:00:00"/>
  </r>
  <r>
    <s v="2017 Buick Envision"/>
    <x v="74"/>
    <n v="25990"/>
    <s v="USD"/>
    <x v="5"/>
    <x v="25"/>
    <x v="0"/>
    <x v="0"/>
    <x v="0"/>
    <x v="12"/>
    <n v="37481"/>
    <x v="3"/>
    <s v="truecar"/>
    <d v="2022-07-13T00:00:00"/>
  </r>
  <r>
    <s v="2019 Jeep Grand Cherokee"/>
    <x v="0"/>
    <n v="33691"/>
    <s v="USD"/>
    <x v="2"/>
    <x v="0"/>
    <x v="0"/>
    <x v="0"/>
    <x v="0"/>
    <x v="0"/>
    <n v="23246"/>
    <x v="0"/>
    <s v="truecar"/>
    <d v="2022-07-13T00:00:00"/>
  </r>
  <r>
    <s v="2020 Acura ILX"/>
    <x v="75"/>
    <n v="27954"/>
    <s v="USD"/>
    <x v="3"/>
    <x v="24"/>
    <x v="2"/>
    <x v="0"/>
    <x v="0"/>
    <x v="2"/>
    <n v="34015"/>
    <x v="3"/>
    <s v="truecar"/>
    <d v="2022-07-13T00:00:00"/>
  </r>
  <r>
    <s v="2021 Honda Civic"/>
    <x v="71"/>
    <n v="28601"/>
    <s v="USD"/>
    <x v="6"/>
    <x v="14"/>
    <x v="2"/>
    <x v="0"/>
    <x v="0"/>
    <x v="19"/>
    <n v="6792"/>
    <x v="3"/>
    <s v="truecar"/>
    <d v="2022-07-13T00:00:00"/>
  </r>
  <r>
    <s v="2012 Nissan Murano"/>
    <x v="12"/>
    <n v="12599"/>
    <s v="USD"/>
    <x v="7"/>
    <x v="10"/>
    <x v="0"/>
    <x v="0"/>
    <x v="0"/>
    <x v="8"/>
    <n v="100545"/>
    <x v="2"/>
    <s v="truecar"/>
    <d v="2022-07-13T00:00:00"/>
  </r>
  <r>
    <s v="2017 GMC Acadia Limited"/>
    <x v="76"/>
    <n v="23699"/>
    <s v="USD"/>
    <x v="5"/>
    <x v="20"/>
    <x v="0"/>
    <x v="0"/>
    <x v="0"/>
    <x v="0"/>
    <n v="94024"/>
    <x v="2"/>
    <s v="truecar"/>
    <d v="2022-07-13T00:00:00"/>
  </r>
  <r>
    <s v="2018 Ford F-150"/>
    <x v="1"/>
    <n v="34888"/>
    <s v="USD"/>
    <x v="9"/>
    <x v="1"/>
    <x v="1"/>
    <x v="0"/>
    <x v="0"/>
    <x v="37"/>
    <n v="64939"/>
    <x v="0"/>
    <s v="truecar"/>
    <d v="2022-07-13T00:00:00"/>
  </r>
  <r>
    <s v="2021 Ram 1500"/>
    <x v="2"/>
    <n v="54995"/>
    <s v="USD"/>
    <x v="6"/>
    <x v="2"/>
    <x v="1"/>
    <x v="0"/>
    <x v="0"/>
    <x v="3"/>
    <n v="5617"/>
    <x v="0"/>
    <s v="truecar"/>
    <d v="2022-07-13T00:00:00"/>
  </r>
  <r>
    <s v="2017 Ram 1500"/>
    <x v="2"/>
    <n v="30888"/>
    <s v="USD"/>
    <x v="5"/>
    <x v="2"/>
    <x v="1"/>
    <x v="0"/>
    <x v="0"/>
    <x v="0"/>
    <n v="79752"/>
    <x v="0"/>
    <s v="truecar"/>
    <d v="2022-07-13T00:00:00"/>
  </r>
  <r>
    <s v="2018 Ford Expedition"/>
    <x v="77"/>
    <n v="43986"/>
    <s v="USD"/>
    <x v="9"/>
    <x v="1"/>
    <x v="0"/>
    <x v="0"/>
    <x v="0"/>
    <x v="5"/>
    <n v="66119"/>
    <x v="0"/>
    <s v="truecar"/>
    <d v="2022-07-13T00:00:00"/>
  </r>
  <r>
    <s v="2020 Lincoln Continental"/>
    <x v="78"/>
    <n v="51595"/>
    <s v="USD"/>
    <x v="3"/>
    <x v="28"/>
    <x v="2"/>
    <x v="0"/>
    <x v="0"/>
    <x v="36"/>
    <n v="12401"/>
    <x v="3"/>
    <s v="truecar"/>
    <d v="2022-07-13T00:00:00"/>
  </r>
  <r>
    <s v="2019 Mercedes-Benz GLA"/>
    <x v="79"/>
    <n v="29346"/>
    <s v="USD"/>
    <x v="2"/>
    <x v="19"/>
    <x v="0"/>
    <x v="0"/>
    <x v="0"/>
    <x v="6"/>
    <n v="26694"/>
    <x v="2"/>
    <s v="truecar"/>
    <d v="2022-07-13T00:00:00"/>
  </r>
  <r>
    <s v="2018 Chrysler 300"/>
    <x v="80"/>
    <n v="21287"/>
    <s v="USD"/>
    <x v="9"/>
    <x v="27"/>
    <x v="2"/>
    <x v="0"/>
    <x v="0"/>
    <x v="0"/>
    <n v="80076"/>
    <x v="2"/>
    <s v="truecar"/>
    <d v="2022-07-13T00:00:00"/>
  </r>
  <r>
    <s v="2021 Ford Mustang"/>
    <x v="81"/>
    <n v="66995"/>
    <s v="USD"/>
    <x v="6"/>
    <x v="1"/>
    <x v="7"/>
    <x v="0"/>
    <x v="1"/>
    <x v="37"/>
    <n v="5505"/>
    <x v="1"/>
    <s v="truecar"/>
    <d v="2022-07-13T00:00:00"/>
  </r>
  <r>
    <s v="2017 Chevrolet Equinox"/>
    <x v="7"/>
    <n v="21571"/>
    <s v="USD"/>
    <x v="5"/>
    <x v="6"/>
    <x v="0"/>
    <x v="0"/>
    <x v="0"/>
    <x v="2"/>
    <n v="58167"/>
    <x v="2"/>
    <s v="truecar"/>
    <d v="2022-07-13T00:00:00"/>
  </r>
  <r>
    <s v="2017 Hyundai Santa Fe Sport"/>
    <x v="82"/>
    <n v="18561"/>
    <s v="USD"/>
    <x v="5"/>
    <x v="9"/>
    <x v="0"/>
    <x v="0"/>
    <x v="0"/>
    <x v="2"/>
    <n v="73292"/>
    <x v="3"/>
    <s v="truecar"/>
    <d v="2022-07-13T00:00:00"/>
  </r>
  <r>
    <s v="2020 Chevrolet Trax"/>
    <x v="20"/>
    <n v="23000"/>
    <s v="USD"/>
    <x v="3"/>
    <x v="6"/>
    <x v="0"/>
    <x v="0"/>
    <x v="0"/>
    <x v="13"/>
    <n v="29647"/>
    <x v="3"/>
    <s v="truecar"/>
    <d v="2022-07-13T00:00:00"/>
  </r>
  <r>
    <s v="2021 Toyota Camry"/>
    <x v="22"/>
    <n v="26188"/>
    <s v="USD"/>
    <x v="6"/>
    <x v="3"/>
    <x v="2"/>
    <x v="0"/>
    <x v="0"/>
    <x v="12"/>
    <n v="28954"/>
    <x v="3"/>
    <s v="truecar"/>
    <d v="2022-07-13T00:00:00"/>
  </r>
  <r>
    <s v="2017 Ford Explorer"/>
    <x v="43"/>
    <n v="26071"/>
    <s v="USD"/>
    <x v="5"/>
    <x v="1"/>
    <x v="0"/>
    <x v="0"/>
    <x v="0"/>
    <x v="8"/>
    <n v="53407"/>
    <x v="3"/>
    <s v="truecar"/>
    <d v="2022-07-13T00:00:00"/>
  </r>
  <r>
    <s v="2021 Mazda CX-9"/>
    <x v="83"/>
    <n v="35897"/>
    <s v="USD"/>
    <x v="6"/>
    <x v="29"/>
    <x v="0"/>
    <x v="0"/>
    <x v="0"/>
    <x v="38"/>
    <n v="41056"/>
    <x v="2"/>
    <s v="truecar"/>
    <d v="2022-07-13T00:00:00"/>
  </r>
  <r>
    <s v="2019 Ford Fusion"/>
    <x v="84"/>
    <n v="26995"/>
    <s v="USD"/>
    <x v="2"/>
    <x v="1"/>
    <x v="2"/>
    <x v="0"/>
    <x v="0"/>
    <x v="6"/>
    <n v="59756"/>
    <x v="2"/>
    <s v="truecar"/>
    <d v="2022-07-13T00:00:00"/>
  </r>
  <r>
    <s v="2018 Jeep Compass"/>
    <x v="3"/>
    <n v="25499"/>
    <s v="USD"/>
    <x v="9"/>
    <x v="0"/>
    <x v="0"/>
    <x v="0"/>
    <x v="0"/>
    <x v="2"/>
    <n v="48213"/>
    <x v="0"/>
    <s v="truecar"/>
    <d v="2022-07-13T00:00:00"/>
  </r>
  <r>
    <s v="2019 Toyota Tacoma"/>
    <x v="66"/>
    <n v="34599"/>
    <s v="USD"/>
    <x v="2"/>
    <x v="3"/>
    <x v="1"/>
    <x v="0"/>
    <x v="0"/>
    <x v="8"/>
    <n v="75495"/>
    <x v="0"/>
    <s v="truecar"/>
    <d v="2022-07-13T00:00:00"/>
  </r>
  <r>
    <s v="2015 Ford F-150"/>
    <x v="1"/>
    <n v="32991"/>
    <s v="USD"/>
    <x v="4"/>
    <x v="1"/>
    <x v="1"/>
    <x v="0"/>
    <x v="0"/>
    <x v="36"/>
    <n v="39939"/>
    <x v="0"/>
    <s v="truecar"/>
    <d v="2022-07-13T00:00:00"/>
  </r>
  <r>
    <s v="2019 GMC Yukon"/>
    <x v="85"/>
    <n v="59998"/>
    <s v="USD"/>
    <x v="2"/>
    <x v="20"/>
    <x v="0"/>
    <x v="0"/>
    <x v="0"/>
    <x v="20"/>
    <n v="34752"/>
    <x v="0"/>
    <s v="truecar"/>
    <d v="2022-07-13T00:00:00"/>
  </r>
  <r>
    <s v="2008 Cadillac DTS"/>
    <x v="86"/>
    <n v="8777"/>
    <s v="USD"/>
    <x v="16"/>
    <x v="16"/>
    <x v="2"/>
    <x v="0"/>
    <x v="0"/>
    <x v="22"/>
    <n v="81387"/>
    <x v="3"/>
    <s v="truecar"/>
    <d v="2022-07-13T00:00:00"/>
  </r>
  <r>
    <s v="2019 Mercedes-Benz GLS"/>
    <x v="87"/>
    <n v="48485"/>
    <s v="USD"/>
    <x v="2"/>
    <x v="19"/>
    <x v="0"/>
    <x v="0"/>
    <x v="0"/>
    <x v="23"/>
    <n v="53669"/>
    <x v="2"/>
    <s v="truecar"/>
    <d v="2022-07-13T00:00:00"/>
  </r>
  <r>
    <s v="2014 Chevrolet Silverado 1500"/>
    <x v="67"/>
    <n v="17000"/>
    <s v="USD"/>
    <x v="1"/>
    <x v="6"/>
    <x v="1"/>
    <x v="0"/>
    <x v="0"/>
    <x v="20"/>
    <n v="131009"/>
    <x v="1"/>
    <s v="truecar"/>
    <d v="2022-07-13T00:00:00"/>
  </r>
  <r>
    <s v="2021 Toyota Highlander"/>
    <x v="88"/>
    <n v="42799"/>
    <s v="USD"/>
    <x v="6"/>
    <x v="3"/>
    <x v="0"/>
    <x v="0"/>
    <x v="0"/>
    <x v="8"/>
    <n v="2288"/>
    <x v="2"/>
    <s v="truecar"/>
    <d v="2022-07-13T00:00:00"/>
  </r>
  <r>
    <s v="2018 Chevrolet Malibu"/>
    <x v="89"/>
    <n v="15387"/>
    <s v="USD"/>
    <x v="9"/>
    <x v="6"/>
    <x v="2"/>
    <x v="0"/>
    <x v="0"/>
    <x v="19"/>
    <n v="110431"/>
    <x v="3"/>
    <s v="truecar"/>
    <d v="2022-07-13T00:00:00"/>
  </r>
  <r>
    <s v="2019 Ram 2500"/>
    <x v="90"/>
    <n v="74995"/>
    <s v="USD"/>
    <x v="2"/>
    <x v="2"/>
    <x v="1"/>
    <x v="2"/>
    <x v="0"/>
    <x v="35"/>
    <n v="31186"/>
    <x v="0"/>
    <s v="truecar"/>
    <d v="2022-07-13T00:00:00"/>
  </r>
  <r>
    <s v="2019 Kia Stinger"/>
    <x v="60"/>
    <n v="43950"/>
    <s v="USD"/>
    <x v="2"/>
    <x v="22"/>
    <x v="3"/>
    <x v="0"/>
    <x v="0"/>
    <x v="39"/>
    <n v="9904"/>
    <x v="2"/>
    <s v="truecar"/>
    <d v="2022-07-13T00:00:00"/>
  </r>
  <r>
    <s v="2016 GMC Sierra 1500"/>
    <x v="91"/>
    <n v="32900"/>
    <s v="USD"/>
    <x v="0"/>
    <x v="20"/>
    <x v="1"/>
    <x v="0"/>
    <x v="0"/>
    <x v="20"/>
    <n v="83045"/>
    <x v="1"/>
    <s v="truecar"/>
    <d v="2022-07-13T00:00:00"/>
  </r>
  <r>
    <s v="2019 Ford Explorer"/>
    <x v="43"/>
    <n v="40988"/>
    <s v="USD"/>
    <x v="2"/>
    <x v="1"/>
    <x v="0"/>
    <x v="0"/>
    <x v="0"/>
    <x v="5"/>
    <n v="32297"/>
    <x v="0"/>
    <s v="truecar"/>
    <d v="2022-07-13T00:00:00"/>
  </r>
  <r>
    <s v="2019 Jeep Cherokee"/>
    <x v="92"/>
    <n v="26990"/>
    <s v="USD"/>
    <x v="2"/>
    <x v="0"/>
    <x v="0"/>
    <x v="0"/>
    <x v="0"/>
    <x v="2"/>
    <n v="28219"/>
    <x v="0"/>
    <s v="truecar"/>
    <d v="2022-07-13T00:00:00"/>
  </r>
  <r>
    <s v="2020 INFINITI QX60"/>
    <x v="93"/>
    <n v="30894"/>
    <s v="USD"/>
    <x v="3"/>
    <x v="26"/>
    <x v="0"/>
    <x v="0"/>
    <x v="0"/>
    <x v="8"/>
    <n v="50168"/>
    <x v="2"/>
    <s v="truecar"/>
    <d v="2022-07-13T00:00:00"/>
  </r>
  <r>
    <s v="2016 Ford F-150"/>
    <x v="1"/>
    <n v="25998"/>
    <s v="USD"/>
    <x v="0"/>
    <x v="1"/>
    <x v="1"/>
    <x v="0"/>
    <x v="0"/>
    <x v="36"/>
    <n v="121883"/>
    <x v="1"/>
    <s v="truecar"/>
    <d v="2022-07-13T00:00:00"/>
  </r>
  <r>
    <s v="2017 INFINITI QX80"/>
    <x v="94"/>
    <n v="35989"/>
    <s v="USD"/>
    <x v="5"/>
    <x v="26"/>
    <x v="0"/>
    <x v="0"/>
    <x v="0"/>
    <x v="33"/>
    <n v="69555"/>
    <x v="0"/>
    <s v="truecar"/>
    <d v="2022-07-13T00:00:00"/>
  </r>
  <r>
    <s v="2018 Lexus GX"/>
    <x v="95"/>
    <n v="41888"/>
    <s v="USD"/>
    <x v="9"/>
    <x v="30"/>
    <x v="0"/>
    <x v="0"/>
    <x v="0"/>
    <x v="22"/>
    <n v="25285"/>
    <x v="0"/>
    <s v="truecar"/>
    <d v="2022-07-13T00:00:00"/>
  </r>
  <r>
    <s v="2020 Ford F-150"/>
    <x v="1"/>
    <n v="39989"/>
    <s v="USD"/>
    <x v="3"/>
    <x v="1"/>
    <x v="1"/>
    <x v="0"/>
    <x v="0"/>
    <x v="40"/>
    <n v="59260"/>
    <x v="1"/>
    <s v="truecar"/>
    <d v="2022-07-13T00:00:00"/>
  </r>
  <r>
    <s v="2013 Nissan Maxima"/>
    <x v="96"/>
    <n v="15638"/>
    <s v="USD"/>
    <x v="12"/>
    <x v="10"/>
    <x v="2"/>
    <x v="0"/>
    <x v="0"/>
    <x v="8"/>
    <n v="87962"/>
    <x v="3"/>
    <s v="truecar"/>
    <d v="2022-07-13T00:00:00"/>
  </r>
  <r>
    <s v="2011 Ford Super Duty F-350"/>
    <x v="40"/>
    <n v="29000"/>
    <s v="USD"/>
    <x v="15"/>
    <x v="1"/>
    <x v="1"/>
    <x v="2"/>
    <x v="0"/>
    <x v="24"/>
    <n v="108759"/>
    <x v="0"/>
    <s v="truecar"/>
    <d v="2022-07-13T00:00:00"/>
  </r>
  <r>
    <s v="2019 INFINITI Q60"/>
    <x v="97"/>
    <n v="41998"/>
    <s v="USD"/>
    <x v="2"/>
    <x v="26"/>
    <x v="7"/>
    <x v="0"/>
    <x v="0"/>
    <x v="23"/>
    <n v="39768"/>
    <x v="2"/>
    <s v="truecar"/>
    <d v="2022-07-13T00:00:00"/>
  </r>
  <r>
    <s v="2018 Chevrolet Silverado 2500HD"/>
    <x v="21"/>
    <n v="71115"/>
    <s v="USD"/>
    <x v="9"/>
    <x v="6"/>
    <x v="1"/>
    <x v="2"/>
    <x v="0"/>
    <x v="25"/>
    <n v="48026"/>
    <x v="0"/>
    <s v="truecar"/>
    <d v="2022-07-13T00:00:00"/>
  </r>
  <r>
    <s v="2015 Chevrolet Equinox"/>
    <x v="7"/>
    <n v="19990"/>
    <s v="USD"/>
    <x v="4"/>
    <x v="6"/>
    <x v="0"/>
    <x v="0"/>
    <x v="0"/>
    <x v="2"/>
    <n v="36174"/>
    <x v="3"/>
    <s v="truecar"/>
    <d v="2022-07-13T00:00:00"/>
  </r>
  <r>
    <s v="2020 Toyota Corolla"/>
    <x v="98"/>
    <n v="23500"/>
    <s v="USD"/>
    <x v="3"/>
    <x v="3"/>
    <x v="2"/>
    <x v="0"/>
    <x v="0"/>
    <x v="41"/>
    <n v="56523"/>
    <x v="3"/>
    <s v="truecar"/>
    <d v="2022-07-13T00:00:00"/>
  </r>
  <r>
    <s v="2019 Dodge Grand Caravan"/>
    <x v="56"/>
    <n v="23490"/>
    <s v="USD"/>
    <x v="2"/>
    <x v="11"/>
    <x v="5"/>
    <x v="0"/>
    <x v="0"/>
    <x v="0"/>
    <n v="73764"/>
    <x v="3"/>
    <s v="truecar"/>
    <d v="2022-07-13T00:00:00"/>
  </r>
  <r>
    <s v="2020 Lincoln Corsair"/>
    <x v="99"/>
    <n v="44988"/>
    <s v="USD"/>
    <x v="3"/>
    <x v="28"/>
    <x v="0"/>
    <x v="0"/>
    <x v="0"/>
    <x v="29"/>
    <n v="13721"/>
    <x v="2"/>
    <s v="truecar"/>
    <d v="2022-07-13T00:00:00"/>
  </r>
  <r>
    <s v="2020 Cadillac XT5"/>
    <x v="100"/>
    <n v="37991"/>
    <s v="USD"/>
    <x v="3"/>
    <x v="16"/>
    <x v="0"/>
    <x v="0"/>
    <x v="0"/>
    <x v="42"/>
    <n v="61256"/>
    <x v="3"/>
    <s v="truecar"/>
    <d v="2022-07-13T00:00:00"/>
  </r>
  <r>
    <s v="2013 Chevrolet Camaro"/>
    <x v="101"/>
    <n v="29981"/>
    <s v="USD"/>
    <x v="12"/>
    <x v="6"/>
    <x v="4"/>
    <x v="0"/>
    <x v="0"/>
    <x v="1"/>
    <n v="56069"/>
    <x v="1"/>
    <s v="truecar"/>
    <d v="2022-07-13T00:00:00"/>
  </r>
  <r>
    <s v="2019 Honda Civic"/>
    <x v="71"/>
    <n v="24699"/>
    <s v="USD"/>
    <x v="2"/>
    <x v="14"/>
    <x v="2"/>
    <x v="0"/>
    <x v="0"/>
    <x v="9"/>
    <n v="33857"/>
    <x v="3"/>
    <s v="truecar"/>
    <d v="2022-07-13T00:00:00"/>
  </r>
  <r>
    <s v="2022 Chevrolet Silverado 1500 LTD"/>
    <x v="102"/>
    <n v="51998"/>
    <s v="USD"/>
    <x v="10"/>
    <x v="6"/>
    <x v="1"/>
    <x v="0"/>
    <x v="0"/>
    <x v="43"/>
    <n v="3921"/>
    <x v="0"/>
    <s v="truecar"/>
    <d v="2022-07-13T00:00:00"/>
  </r>
  <r>
    <s v="2020 Hyundai Kona"/>
    <x v="103"/>
    <n v="25127"/>
    <s v="USD"/>
    <x v="3"/>
    <x v="9"/>
    <x v="0"/>
    <x v="0"/>
    <x v="0"/>
    <x v="9"/>
    <n v="17460"/>
    <x v="3"/>
    <s v="truecar"/>
    <d v="2022-07-13T00:00:00"/>
  </r>
  <r>
    <s v="2014 Kia Optima"/>
    <x v="64"/>
    <n v="14998"/>
    <s v="USD"/>
    <x v="1"/>
    <x v="22"/>
    <x v="2"/>
    <x v="3"/>
    <x v="0"/>
    <x v="44"/>
    <n v="123590"/>
    <x v="3"/>
    <s v="truecar"/>
    <d v="2022-07-13T00:00:00"/>
  </r>
  <r>
    <s v="2016 Ram 3500"/>
    <x v="68"/>
    <n v="44212"/>
    <s v="USD"/>
    <x v="0"/>
    <x v="2"/>
    <x v="1"/>
    <x v="2"/>
    <x v="0"/>
    <x v="35"/>
    <n v="165888"/>
    <x v="0"/>
    <s v="truecar"/>
    <d v="2022-07-13T00:00:00"/>
  </r>
  <r>
    <s v="2021 Land Rover Range Rover"/>
    <x v="104"/>
    <n v="113597"/>
    <s v="USD"/>
    <x v="6"/>
    <x v="7"/>
    <x v="0"/>
    <x v="0"/>
    <x v="0"/>
    <x v="45"/>
    <n v="4756"/>
    <x v="0"/>
    <s v="truecar"/>
    <d v="2022-07-13T00:00:00"/>
  </r>
  <r>
    <s v="2017 Honda Pilot"/>
    <x v="35"/>
    <n v="29899"/>
    <s v="USD"/>
    <x v="5"/>
    <x v="14"/>
    <x v="0"/>
    <x v="0"/>
    <x v="0"/>
    <x v="8"/>
    <n v="56114"/>
    <x v="3"/>
    <s v="truecar"/>
    <d v="2022-07-13T00:00:00"/>
  </r>
  <r>
    <s v="2019 Mazda CX-5"/>
    <x v="105"/>
    <n v="35888"/>
    <s v="USD"/>
    <x v="2"/>
    <x v="29"/>
    <x v="0"/>
    <x v="0"/>
    <x v="0"/>
    <x v="38"/>
    <n v="28763"/>
    <x v="2"/>
    <s v="truecar"/>
    <d v="2022-07-13T00:00:00"/>
  </r>
  <r>
    <s v="2020 Toyota Camry"/>
    <x v="22"/>
    <n v="25800"/>
    <s v="USD"/>
    <x v="3"/>
    <x v="3"/>
    <x v="2"/>
    <x v="0"/>
    <x v="0"/>
    <x v="12"/>
    <n v="10879"/>
    <x v="3"/>
    <s v="truecar"/>
    <d v="2022-07-13T00:00:00"/>
  </r>
  <r>
    <s v="2020 Toyota Corolla"/>
    <x v="98"/>
    <n v="21495"/>
    <s v="USD"/>
    <x v="3"/>
    <x v="3"/>
    <x v="2"/>
    <x v="0"/>
    <x v="0"/>
    <x v="41"/>
    <n v="50466"/>
    <x v="3"/>
    <s v="truecar"/>
    <d v="2022-07-13T00:00:00"/>
  </r>
  <r>
    <s v="2019 Hyundai Kona"/>
    <x v="103"/>
    <n v="18985"/>
    <s v="USD"/>
    <x v="2"/>
    <x v="9"/>
    <x v="0"/>
    <x v="0"/>
    <x v="0"/>
    <x v="9"/>
    <n v="65827"/>
    <x v="3"/>
    <s v="truecar"/>
    <d v="2022-07-13T00:00:00"/>
  </r>
  <r>
    <s v="2022 Mercedes-Benz GLB"/>
    <x v="106"/>
    <n v="42755"/>
    <s v="USD"/>
    <x v="10"/>
    <x v="19"/>
    <x v="0"/>
    <x v="0"/>
    <x v="0"/>
    <x v="6"/>
    <n v="5"/>
    <x v="3"/>
    <s v="truecar"/>
    <d v="2022-07-13T00:00:00"/>
  </r>
  <r>
    <s v="2020 GMC Sierra 1500"/>
    <x v="91"/>
    <n v="48997"/>
    <s v="USD"/>
    <x v="3"/>
    <x v="20"/>
    <x v="1"/>
    <x v="0"/>
    <x v="0"/>
    <x v="43"/>
    <n v="17538"/>
    <x v="0"/>
    <s v="truecar"/>
    <d v="2022-07-13T00:00:00"/>
  </r>
  <r>
    <s v="2013 Mercedes-Benz GL"/>
    <x v="107"/>
    <n v="23999"/>
    <s v="USD"/>
    <x v="12"/>
    <x v="19"/>
    <x v="0"/>
    <x v="0"/>
    <x v="0"/>
    <x v="46"/>
    <n v="75901"/>
    <x v="2"/>
    <s v="truecar"/>
    <d v="2022-07-13T00:00:00"/>
  </r>
  <r>
    <s v="2011 Chevrolet Silverado 1500"/>
    <x v="67"/>
    <n v="12995"/>
    <s v="USD"/>
    <x v="15"/>
    <x v="6"/>
    <x v="1"/>
    <x v="0"/>
    <x v="0"/>
    <x v="20"/>
    <n v="152353"/>
    <x v="1"/>
    <s v="truecar"/>
    <d v="2022-07-13T00:00:00"/>
  </r>
  <r>
    <s v="2019 Nissan Rogue"/>
    <x v="17"/>
    <n v="23990"/>
    <s v="USD"/>
    <x v="2"/>
    <x v="10"/>
    <x v="0"/>
    <x v="0"/>
    <x v="0"/>
    <x v="12"/>
    <n v="59014"/>
    <x v="2"/>
    <s v="truecar"/>
    <d v="2022-07-13T00:00:00"/>
  </r>
  <r>
    <s v="2018 Nissan Murano"/>
    <x v="12"/>
    <n v="30998"/>
    <s v="USD"/>
    <x v="9"/>
    <x v="10"/>
    <x v="0"/>
    <x v="0"/>
    <x v="0"/>
    <x v="8"/>
    <n v="42179"/>
    <x v="2"/>
    <s v="truecar"/>
    <d v="2022-07-13T00:00:00"/>
  </r>
  <r>
    <s v="2021 Subaru Impreza"/>
    <x v="108"/>
    <n v="23998"/>
    <s v="USD"/>
    <x v="6"/>
    <x v="15"/>
    <x v="3"/>
    <x v="0"/>
    <x v="0"/>
    <x v="47"/>
    <n v="39567"/>
    <x v="2"/>
    <s v="truecar"/>
    <d v="2022-07-13T00:00:00"/>
  </r>
  <r>
    <s v="2019 Jeep Grand Cherokee"/>
    <x v="0"/>
    <n v="35800"/>
    <s v="USD"/>
    <x v="2"/>
    <x v="0"/>
    <x v="0"/>
    <x v="0"/>
    <x v="0"/>
    <x v="3"/>
    <n v="29683"/>
    <x v="0"/>
    <s v="truecar"/>
    <d v="2022-07-13T00:00:00"/>
  </r>
  <r>
    <s v="2019 Ram 1500 Classic"/>
    <x v="109"/>
    <n v="36495"/>
    <s v="USD"/>
    <x v="2"/>
    <x v="2"/>
    <x v="1"/>
    <x v="0"/>
    <x v="0"/>
    <x v="3"/>
    <n v="63730"/>
    <x v="0"/>
    <s v="truecar"/>
    <d v="2022-07-13T00:00:00"/>
  </r>
  <r>
    <s v="2011 Mazda Mazda3"/>
    <x v="110"/>
    <n v="15150"/>
    <s v="USD"/>
    <x v="15"/>
    <x v="29"/>
    <x v="2"/>
    <x v="0"/>
    <x v="0"/>
    <x v="12"/>
    <n v="36400"/>
    <x v="3"/>
    <s v="truecar"/>
    <d v="2022-07-13T00:00:00"/>
  </r>
  <r>
    <s v="2018 Nissan Murano"/>
    <x v="12"/>
    <n v="23000"/>
    <s v="USD"/>
    <x v="9"/>
    <x v="10"/>
    <x v="0"/>
    <x v="0"/>
    <x v="0"/>
    <x v="8"/>
    <n v="81529"/>
    <x v="2"/>
    <s v="truecar"/>
    <d v="2022-07-13T00:00:00"/>
  </r>
  <r>
    <s v="2013 Hyundai Sonata"/>
    <x v="111"/>
    <n v="14999"/>
    <s v="USD"/>
    <x v="12"/>
    <x v="9"/>
    <x v="2"/>
    <x v="0"/>
    <x v="0"/>
    <x v="2"/>
    <n v="80120"/>
    <x v="3"/>
    <s v="truecar"/>
    <d v="2022-07-13T00:00:00"/>
  </r>
  <r>
    <s v="2019 Mercedes-Benz GLA"/>
    <x v="79"/>
    <n v="30995"/>
    <s v="USD"/>
    <x v="2"/>
    <x v="19"/>
    <x v="0"/>
    <x v="0"/>
    <x v="0"/>
    <x v="6"/>
    <n v="24559"/>
    <x v="2"/>
    <s v="truecar"/>
    <d v="2022-07-13T00:00:00"/>
  </r>
  <r>
    <s v="2021 Toyota Highlander"/>
    <x v="88"/>
    <n v="45291"/>
    <s v="USD"/>
    <x v="6"/>
    <x v="3"/>
    <x v="0"/>
    <x v="0"/>
    <x v="0"/>
    <x v="8"/>
    <n v="32226"/>
    <x v="3"/>
    <s v="truecar"/>
    <d v="2022-07-13T00:00:00"/>
  </r>
  <r>
    <s v="2019 Lincoln Nautilus"/>
    <x v="112"/>
    <n v="33740"/>
    <s v="USD"/>
    <x v="2"/>
    <x v="28"/>
    <x v="0"/>
    <x v="0"/>
    <x v="0"/>
    <x v="6"/>
    <n v="71708"/>
    <x v="3"/>
    <s v="truecar"/>
    <d v="2022-07-13T00:00:00"/>
  </r>
  <r>
    <s v="2005 Toyota Camry"/>
    <x v="22"/>
    <n v="10995"/>
    <s v="USD"/>
    <x v="14"/>
    <x v="3"/>
    <x v="2"/>
    <x v="0"/>
    <x v="0"/>
    <x v="48"/>
    <n v="55185"/>
    <x v="3"/>
    <s v="truecar"/>
    <d v="2022-07-13T00:00:00"/>
  </r>
  <r>
    <s v="2019 Lincoln MKZ"/>
    <x v="113"/>
    <n v="34239"/>
    <s v="USD"/>
    <x v="2"/>
    <x v="28"/>
    <x v="2"/>
    <x v="0"/>
    <x v="0"/>
    <x v="6"/>
    <n v="8936"/>
    <x v="2"/>
    <s v="truecar"/>
    <d v="2022-07-13T00:00:00"/>
  </r>
  <r>
    <s v="2017 Kia Forte"/>
    <x v="114"/>
    <n v="17495"/>
    <s v="USD"/>
    <x v="5"/>
    <x v="22"/>
    <x v="2"/>
    <x v="0"/>
    <x v="0"/>
    <x v="9"/>
    <n v="9537"/>
    <x v="3"/>
    <s v="truecar"/>
    <d v="2022-07-13T00:00:00"/>
  </r>
  <r>
    <s v="2021 Volkswagen Atlas"/>
    <x v="115"/>
    <n v="40870"/>
    <s v="USD"/>
    <x v="6"/>
    <x v="5"/>
    <x v="0"/>
    <x v="0"/>
    <x v="0"/>
    <x v="0"/>
    <n v="7657"/>
    <x v="3"/>
    <s v="truecar"/>
    <d v="2022-07-13T00:00:00"/>
  </r>
  <r>
    <s v="2016 Maserati GranTurismo"/>
    <x v="116"/>
    <n v="66250"/>
    <s v="USD"/>
    <x v="0"/>
    <x v="31"/>
    <x v="4"/>
    <x v="0"/>
    <x v="0"/>
    <x v="49"/>
    <n v="21962"/>
    <x v="1"/>
    <s v="truecar"/>
    <d v="2022-07-13T00:00:00"/>
  </r>
  <r>
    <s v="2018 Lexus GS"/>
    <x v="117"/>
    <n v="34995"/>
    <s v="USD"/>
    <x v="9"/>
    <x v="30"/>
    <x v="2"/>
    <x v="0"/>
    <x v="0"/>
    <x v="8"/>
    <n v="67499"/>
    <x v="1"/>
    <s v="truecar"/>
    <d v="2022-07-13T00:00:00"/>
  </r>
  <r>
    <s v="2021 BMW 3 Series"/>
    <x v="51"/>
    <n v="41995"/>
    <s v="USD"/>
    <x v="6"/>
    <x v="13"/>
    <x v="2"/>
    <x v="0"/>
    <x v="0"/>
    <x v="6"/>
    <n v="18224"/>
    <x v="1"/>
    <s v="truecar"/>
    <d v="2022-07-13T00:00:00"/>
  </r>
  <r>
    <s v="2018 Chevrolet Colorado"/>
    <x v="19"/>
    <n v="44298"/>
    <s v="USD"/>
    <x v="9"/>
    <x v="6"/>
    <x v="1"/>
    <x v="2"/>
    <x v="0"/>
    <x v="50"/>
    <n v="52758"/>
    <x v="0"/>
    <s v="truecar"/>
    <d v="2022-07-13T00:00:00"/>
  </r>
  <r>
    <s v="2013 Chevrolet Silverado 2500HD"/>
    <x v="21"/>
    <n v="15995"/>
    <s v="USD"/>
    <x v="12"/>
    <x v="6"/>
    <x v="1"/>
    <x v="0"/>
    <x v="0"/>
    <x v="27"/>
    <n v="165340"/>
    <x v="1"/>
    <s v="truecar"/>
    <d v="2022-07-13T00:00:00"/>
  </r>
  <r>
    <s v="2004 Nissan Titan"/>
    <x v="61"/>
    <n v="14995"/>
    <s v="USD"/>
    <x v="17"/>
    <x v="10"/>
    <x v="1"/>
    <x v="0"/>
    <x v="0"/>
    <x v="33"/>
    <n v="146003"/>
    <x v="1"/>
    <s v="truecar"/>
    <d v="2022-07-13T00:00:00"/>
  </r>
  <r>
    <s v="2017 Chevrolet Cruze"/>
    <x v="118"/>
    <n v="19998"/>
    <s v="USD"/>
    <x v="5"/>
    <x v="6"/>
    <x v="2"/>
    <x v="0"/>
    <x v="0"/>
    <x v="13"/>
    <n v="60282"/>
    <x v="3"/>
    <s v="truecar"/>
    <d v="2022-07-13T00:00:00"/>
  </r>
  <r>
    <s v="2014 Chrysler 200"/>
    <x v="119"/>
    <n v="14944"/>
    <s v="USD"/>
    <x v="1"/>
    <x v="27"/>
    <x v="2"/>
    <x v="0"/>
    <x v="0"/>
    <x v="2"/>
    <n v="29158"/>
    <x v="3"/>
    <s v="truecar"/>
    <d v="2022-07-13T00:00:00"/>
  </r>
  <r>
    <s v="2019 Porsche Cayenne"/>
    <x v="120"/>
    <n v="65000"/>
    <s v="USD"/>
    <x v="2"/>
    <x v="8"/>
    <x v="0"/>
    <x v="0"/>
    <x v="0"/>
    <x v="51"/>
    <n v="50037"/>
    <x v="2"/>
    <s v="truecar"/>
    <d v="2022-07-13T00:00:00"/>
  </r>
  <r>
    <s v="2013 Ford Edge"/>
    <x v="32"/>
    <n v="15988"/>
    <s v="USD"/>
    <x v="12"/>
    <x v="1"/>
    <x v="0"/>
    <x v="0"/>
    <x v="0"/>
    <x v="8"/>
    <n v="105000"/>
    <x v="2"/>
    <s v="truecar"/>
    <d v="2022-07-13T00:00:00"/>
  </r>
  <r>
    <s v="2014 Kia Sorento"/>
    <x v="49"/>
    <n v="18999"/>
    <s v="USD"/>
    <x v="1"/>
    <x v="22"/>
    <x v="0"/>
    <x v="0"/>
    <x v="0"/>
    <x v="34"/>
    <n v="114416"/>
    <x v="2"/>
    <s v="truecar"/>
    <d v="2022-07-13T00:00:00"/>
  </r>
  <r>
    <s v="2004 Jeep Liberty"/>
    <x v="121"/>
    <n v="4500"/>
    <s v="USD"/>
    <x v="17"/>
    <x v="0"/>
    <x v="0"/>
    <x v="0"/>
    <x v="0"/>
    <x v="52"/>
    <n v="138406"/>
    <x v="0"/>
    <s v="truecar"/>
    <d v="2022-07-13T00:00:00"/>
  </r>
  <r>
    <s v="2005 GMC Sierra 3500"/>
    <x v="122"/>
    <n v="24495"/>
    <s v="USD"/>
    <x v="14"/>
    <x v="20"/>
    <x v="1"/>
    <x v="0"/>
    <x v="0"/>
    <x v="53"/>
    <n v="99856"/>
    <x v="0"/>
    <s v="truecar"/>
    <d v="2022-07-13T00:00:00"/>
  </r>
  <r>
    <s v="2018 Ford F-150"/>
    <x v="1"/>
    <n v="40990"/>
    <s v="USD"/>
    <x v="9"/>
    <x v="1"/>
    <x v="1"/>
    <x v="0"/>
    <x v="0"/>
    <x v="5"/>
    <n v="77441"/>
    <x v="0"/>
    <s v="truecar"/>
    <d v="2022-07-13T00:00:00"/>
  </r>
  <r>
    <s v="2019 Jeep Renegade"/>
    <x v="24"/>
    <n v="29498"/>
    <s v="USD"/>
    <x v="2"/>
    <x v="0"/>
    <x v="0"/>
    <x v="0"/>
    <x v="0"/>
    <x v="54"/>
    <n v="5522"/>
    <x v="0"/>
    <s v="truecar"/>
    <d v="2022-07-13T00:00:00"/>
  </r>
  <r>
    <s v="2014 Cadillac CTS"/>
    <x v="123"/>
    <n v="19995"/>
    <s v="USD"/>
    <x v="1"/>
    <x v="16"/>
    <x v="2"/>
    <x v="0"/>
    <x v="0"/>
    <x v="0"/>
    <n v="75685"/>
    <x v="2"/>
    <s v="truecar"/>
    <d v="2022-07-13T00:00:00"/>
  </r>
  <r>
    <s v="2019 Ford Edge"/>
    <x v="32"/>
    <n v="34499"/>
    <s v="USD"/>
    <x v="2"/>
    <x v="1"/>
    <x v="0"/>
    <x v="0"/>
    <x v="0"/>
    <x v="6"/>
    <n v="22261"/>
    <x v="2"/>
    <s v="truecar"/>
    <d v="2022-07-13T00:00:00"/>
  </r>
  <r>
    <s v="2019 GMC Sierra 1500"/>
    <x v="91"/>
    <n v="57998"/>
    <s v="USD"/>
    <x v="2"/>
    <x v="20"/>
    <x v="1"/>
    <x v="0"/>
    <x v="0"/>
    <x v="1"/>
    <n v="53307"/>
    <x v="0"/>
    <s v="truecar"/>
    <d v="2022-07-13T00:00:00"/>
  </r>
  <r>
    <s v="2019 Dodge Charger"/>
    <x v="13"/>
    <n v="48445"/>
    <s v="USD"/>
    <x v="2"/>
    <x v="11"/>
    <x v="2"/>
    <x v="0"/>
    <x v="0"/>
    <x v="55"/>
    <n v="32576"/>
    <x v="1"/>
    <s v="truecar"/>
    <d v="2022-07-13T00:00:00"/>
  </r>
  <r>
    <s v="2018 Volkswagen Atlas"/>
    <x v="115"/>
    <n v="32998"/>
    <s v="USD"/>
    <x v="9"/>
    <x v="5"/>
    <x v="0"/>
    <x v="0"/>
    <x v="0"/>
    <x v="0"/>
    <n v="83085"/>
    <x v="2"/>
    <s v="truecar"/>
    <d v="2022-07-13T00:00:00"/>
  </r>
  <r>
    <s v="2021 GMC Acadia"/>
    <x v="58"/>
    <n v="44998"/>
    <s v="USD"/>
    <x v="6"/>
    <x v="20"/>
    <x v="0"/>
    <x v="0"/>
    <x v="0"/>
    <x v="42"/>
    <n v="21934"/>
    <x v="3"/>
    <s v="truecar"/>
    <d v="2022-07-13T00:00:00"/>
  </r>
  <r>
    <s v="2018 Audi Q7"/>
    <x v="124"/>
    <n v="39490"/>
    <s v="USD"/>
    <x v="9"/>
    <x v="17"/>
    <x v="0"/>
    <x v="0"/>
    <x v="0"/>
    <x v="17"/>
    <n v="69975"/>
    <x v="2"/>
    <s v="truecar"/>
    <d v="2022-07-13T00:00:00"/>
  </r>
  <r>
    <s v="2011 Cadillac CTS-V"/>
    <x v="125"/>
    <n v="30950"/>
    <s v="USD"/>
    <x v="15"/>
    <x v="16"/>
    <x v="7"/>
    <x v="0"/>
    <x v="0"/>
    <x v="56"/>
    <n v="112827"/>
    <x v="1"/>
    <s v="truecar"/>
    <d v="2022-07-13T00:00:00"/>
  </r>
  <r>
    <s v="2021 Chevrolet Traverse"/>
    <x v="69"/>
    <n v="52800"/>
    <s v="USD"/>
    <x v="6"/>
    <x v="6"/>
    <x v="0"/>
    <x v="0"/>
    <x v="0"/>
    <x v="0"/>
    <n v="8495"/>
    <x v="3"/>
    <s v="truecar"/>
    <d v="2022-07-13T00:00:00"/>
  </r>
  <r>
    <s v="2020 Chevrolet Blazer"/>
    <x v="126"/>
    <n v="45911"/>
    <s v="USD"/>
    <x v="3"/>
    <x v="6"/>
    <x v="0"/>
    <x v="0"/>
    <x v="0"/>
    <x v="0"/>
    <n v="19629"/>
    <x v="2"/>
    <s v="truecar"/>
    <d v="2022-07-13T00:00:00"/>
  </r>
  <r>
    <s v="2019 Jaguar XE"/>
    <x v="127"/>
    <n v="34737"/>
    <s v="USD"/>
    <x v="2"/>
    <x v="32"/>
    <x v="2"/>
    <x v="0"/>
    <x v="0"/>
    <x v="6"/>
    <n v="31340"/>
    <x v="1"/>
    <s v="truecar"/>
    <d v="2022-07-13T00:00:00"/>
  </r>
  <r>
    <s v="2020 Chevrolet Malibu"/>
    <x v="89"/>
    <n v="21500"/>
    <s v="USD"/>
    <x v="3"/>
    <x v="6"/>
    <x v="2"/>
    <x v="0"/>
    <x v="0"/>
    <x v="19"/>
    <n v="41935"/>
    <x v="3"/>
    <s v="truecar"/>
    <d v="2022-07-13T00:00:00"/>
  </r>
  <r>
    <s v="2016 Audi S3"/>
    <x v="128"/>
    <n v="26999"/>
    <s v="USD"/>
    <x v="0"/>
    <x v="17"/>
    <x v="2"/>
    <x v="0"/>
    <x v="0"/>
    <x v="6"/>
    <n v="78284"/>
    <x v="2"/>
    <s v="truecar"/>
    <d v="2022-07-13T00:00:00"/>
  </r>
  <r>
    <s v="2019 Chevrolet Malibu"/>
    <x v="89"/>
    <n v="17999"/>
    <s v="USD"/>
    <x v="2"/>
    <x v="6"/>
    <x v="2"/>
    <x v="0"/>
    <x v="0"/>
    <x v="19"/>
    <n v="68550"/>
    <x v="3"/>
    <s v="truecar"/>
    <d v="2022-07-13T00:00:00"/>
  </r>
  <r>
    <s v="2010 INFINITI G"/>
    <x v="129"/>
    <n v="10990"/>
    <s v="USD"/>
    <x v="11"/>
    <x v="26"/>
    <x v="7"/>
    <x v="0"/>
    <x v="0"/>
    <x v="52"/>
    <n v="135556"/>
    <x v="1"/>
    <s v="truecar"/>
    <d v="2022-07-13T00:00:00"/>
  </r>
  <r>
    <s v="2014 Chevrolet Equinox"/>
    <x v="7"/>
    <n v="14936"/>
    <s v="USD"/>
    <x v="1"/>
    <x v="6"/>
    <x v="0"/>
    <x v="0"/>
    <x v="0"/>
    <x v="2"/>
    <n v="98632"/>
    <x v="3"/>
    <s v="truecar"/>
    <d v="2022-07-13T00:00:00"/>
  </r>
  <r>
    <s v="2019 Ford F-150"/>
    <x v="1"/>
    <n v="27550"/>
    <s v="USD"/>
    <x v="2"/>
    <x v="1"/>
    <x v="1"/>
    <x v="0"/>
    <x v="0"/>
    <x v="37"/>
    <n v="43889"/>
    <x v="1"/>
    <s v="truecar"/>
    <d v="2022-07-13T00:00:00"/>
  </r>
  <r>
    <s v="2020 Volkswagen Tiguan"/>
    <x v="54"/>
    <n v="32977"/>
    <s v="USD"/>
    <x v="3"/>
    <x v="5"/>
    <x v="0"/>
    <x v="0"/>
    <x v="0"/>
    <x v="6"/>
    <n v="17560"/>
    <x v="2"/>
    <s v="truecar"/>
    <d v="2022-07-13T00:00:00"/>
  </r>
  <r>
    <s v="2016 Nissan Versa"/>
    <x v="130"/>
    <n v="10991"/>
    <s v="USD"/>
    <x v="0"/>
    <x v="10"/>
    <x v="2"/>
    <x v="0"/>
    <x v="0"/>
    <x v="57"/>
    <n v="84547"/>
    <x v="3"/>
    <s v="truecar"/>
    <d v="2022-07-13T00:00:00"/>
  </r>
  <r>
    <s v="2019 Toyota Corolla"/>
    <x v="98"/>
    <n v="21543"/>
    <s v="USD"/>
    <x v="2"/>
    <x v="3"/>
    <x v="2"/>
    <x v="0"/>
    <x v="0"/>
    <x v="41"/>
    <n v="53567"/>
    <x v="3"/>
    <s v="truecar"/>
    <d v="2022-07-13T00:00:00"/>
  </r>
  <r>
    <s v="2021 Hyundai Kona"/>
    <x v="103"/>
    <n v="23788"/>
    <s v="USD"/>
    <x v="6"/>
    <x v="9"/>
    <x v="0"/>
    <x v="0"/>
    <x v="0"/>
    <x v="9"/>
    <n v="28946"/>
    <x v="3"/>
    <s v="truecar"/>
    <d v="2022-07-13T00:00:00"/>
  </r>
  <r>
    <s v="2019 Toyota Tacoma"/>
    <x v="66"/>
    <n v="43811"/>
    <s v="USD"/>
    <x v="2"/>
    <x v="3"/>
    <x v="1"/>
    <x v="0"/>
    <x v="0"/>
    <x v="8"/>
    <n v="14582"/>
    <x v="0"/>
    <s v="truecar"/>
    <d v="2022-07-13T00:00:00"/>
  </r>
  <r>
    <s v="2015 Mercedes-Benz GLA"/>
    <x v="79"/>
    <n v="29990"/>
    <s v="USD"/>
    <x v="4"/>
    <x v="19"/>
    <x v="0"/>
    <x v="0"/>
    <x v="0"/>
    <x v="6"/>
    <n v="75066"/>
    <x v="2"/>
    <s v="truecar"/>
    <d v="2022-07-13T00:00:00"/>
  </r>
  <r>
    <s v="2011 Chevrolet Corvette"/>
    <x v="131"/>
    <n v="39800"/>
    <s v="USD"/>
    <x v="15"/>
    <x v="6"/>
    <x v="7"/>
    <x v="0"/>
    <x v="0"/>
    <x v="1"/>
    <n v="53979"/>
    <x v="1"/>
    <s v="truecar"/>
    <d v="2022-07-13T00:00:00"/>
  </r>
  <r>
    <s v="2019 Kia Sportage"/>
    <x v="132"/>
    <n v="22590"/>
    <s v="USD"/>
    <x v="2"/>
    <x v="22"/>
    <x v="0"/>
    <x v="0"/>
    <x v="0"/>
    <x v="2"/>
    <n v="43411"/>
    <x v="3"/>
    <s v="truecar"/>
    <d v="2022-07-13T00:00:00"/>
  </r>
  <r>
    <s v="2011 Mercedes-Benz C-Class"/>
    <x v="133"/>
    <n v="21990"/>
    <s v="USD"/>
    <x v="15"/>
    <x v="19"/>
    <x v="2"/>
    <x v="0"/>
    <x v="0"/>
    <x v="48"/>
    <n v="25223"/>
    <x v="2"/>
    <s v="truecar"/>
    <d v="2022-07-13T00:00:00"/>
  </r>
  <r>
    <s v="2020 GMC Canyon"/>
    <x v="134"/>
    <n v="39799"/>
    <s v="USD"/>
    <x v="3"/>
    <x v="20"/>
    <x v="1"/>
    <x v="0"/>
    <x v="0"/>
    <x v="0"/>
    <n v="22441"/>
    <x v="0"/>
    <s v="truecar"/>
    <d v="2022-07-13T00:00:00"/>
  </r>
  <r>
    <s v="2020 Ford Expedition"/>
    <x v="77"/>
    <n v="62797"/>
    <s v="USD"/>
    <x v="3"/>
    <x v="1"/>
    <x v="0"/>
    <x v="0"/>
    <x v="0"/>
    <x v="5"/>
    <n v="22485"/>
    <x v="0"/>
    <s v="truecar"/>
    <d v="2022-07-13T00:00:00"/>
  </r>
  <r>
    <s v="2021 Chevrolet Express Cargo Van"/>
    <x v="135"/>
    <n v="47371"/>
    <s v="USD"/>
    <x v="6"/>
    <x v="6"/>
    <x v="6"/>
    <x v="0"/>
    <x v="0"/>
    <x v="58"/>
    <n v="17386"/>
    <x v="1"/>
    <s v="truecar"/>
    <d v="2022-07-13T00:00:00"/>
  </r>
  <r>
    <s v="2018 Jeep Wrangler"/>
    <x v="30"/>
    <n v="35998"/>
    <s v="USD"/>
    <x v="9"/>
    <x v="0"/>
    <x v="0"/>
    <x v="0"/>
    <x v="1"/>
    <x v="0"/>
    <n v="34346"/>
    <x v="0"/>
    <s v="truecar"/>
    <d v="2022-07-13T00:00:00"/>
  </r>
  <r>
    <s v="2018 Nissan Rogue"/>
    <x v="17"/>
    <n v="20499"/>
    <s v="USD"/>
    <x v="9"/>
    <x v="10"/>
    <x v="0"/>
    <x v="0"/>
    <x v="0"/>
    <x v="12"/>
    <n v="52398"/>
    <x v="2"/>
    <s v="truecar"/>
    <d v="2022-07-13T00:00:00"/>
  </r>
  <r>
    <s v="2019 Ram 1500"/>
    <x v="2"/>
    <n v="46998"/>
    <s v="USD"/>
    <x v="2"/>
    <x v="2"/>
    <x v="1"/>
    <x v="0"/>
    <x v="0"/>
    <x v="3"/>
    <n v="28518"/>
    <x v="0"/>
    <s v="truecar"/>
    <d v="2022-07-13T00:00:00"/>
  </r>
  <r>
    <s v="2015 Chrysler Town &amp; Country"/>
    <x v="136"/>
    <n v="18900"/>
    <s v="USD"/>
    <x v="4"/>
    <x v="27"/>
    <x v="5"/>
    <x v="0"/>
    <x v="0"/>
    <x v="0"/>
    <n v="56734"/>
    <x v="3"/>
    <s v="truecar"/>
    <d v="2022-07-13T00:00:00"/>
  </r>
  <r>
    <s v="2012 Ford F-150"/>
    <x v="1"/>
    <n v="12499"/>
    <s v="USD"/>
    <x v="7"/>
    <x v="1"/>
    <x v="1"/>
    <x v="0"/>
    <x v="0"/>
    <x v="37"/>
    <n v="201100"/>
    <x v="1"/>
    <s v="truecar"/>
    <d v="2022-07-13T00:00:00"/>
  </r>
  <r>
    <s v="2019 Mercedes-Benz CLS"/>
    <x v="137"/>
    <n v="61995"/>
    <s v="USD"/>
    <x v="2"/>
    <x v="19"/>
    <x v="2"/>
    <x v="0"/>
    <x v="0"/>
    <x v="28"/>
    <n v="18004"/>
    <x v="2"/>
    <s v="truecar"/>
    <d v="2022-07-13T00:00:00"/>
  </r>
  <r>
    <s v="2017 Audi A4"/>
    <x v="138"/>
    <n v="30100"/>
    <s v="USD"/>
    <x v="5"/>
    <x v="17"/>
    <x v="2"/>
    <x v="0"/>
    <x v="0"/>
    <x v="6"/>
    <n v="31326"/>
    <x v="2"/>
    <s v="truecar"/>
    <d v="2022-07-13T00:00:00"/>
  </r>
  <r>
    <s v="2018 Mercedes-Benz GLA"/>
    <x v="79"/>
    <n v="28985"/>
    <s v="USD"/>
    <x v="9"/>
    <x v="19"/>
    <x v="0"/>
    <x v="0"/>
    <x v="0"/>
    <x v="6"/>
    <n v="33818"/>
    <x v="3"/>
    <s v="truecar"/>
    <d v="2022-07-13T00:00:00"/>
  </r>
  <r>
    <s v="2019 Chrysler Pacifica"/>
    <x v="62"/>
    <n v="39287"/>
    <s v="USD"/>
    <x v="2"/>
    <x v="27"/>
    <x v="5"/>
    <x v="0"/>
    <x v="0"/>
    <x v="0"/>
    <n v="39094"/>
    <x v="3"/>
    <s v="truecar"/>
    <d v="2022-07-13T00:00:00"/>
  </r>
  <r>
    <s v="2020 Cadillac CT6"/>
    <x v="139"/>
    <n v="59990"/>
    <s v="USD"/>
    <x v="3"/>
    <x v="16"/>
    <x v="2"/>
    <x v="0"/>
    <x v="0"/>
    <x v="0"/>
    <n v="23549"/>
    <x v="2"/>
    <s v="truecar"/>
    <d v="2022-07-13T00:00:00"/>
  </r>
  <r>
    <s v="2020 Nissan Rogue"/>
    <x v="17"/>
    <n v="25778"/>
    <s v="USD"/>
    <x v="3"/>
    <x v="10"/>
    <x v="0"/>
    <x v="0"/>
    <x v="0"/>
    <x v="12"/>
    <n v="48789"/>
    <x v="3"/>
    <s v="truecar"/>
    <d v="2022-07-13T00:00:00"/>
  </r>
  <r>
    <s v="2018 Ford F-150"/>
    <x v="1"/>
    <n v="33000"/>
    <s v="USD"/>
    <x v="9"/>
    <x v="1"/>
    <x v="1"/>
    <x v="0"/>
    <x v="0"/>
    <x v="36"/>
    <n v="91808"/>
    <x v="0"/>
    <s v="truecar"/>
    <d v="2022-07-13T00:00:00"/>
  </r>
  <r>
    <s v="2021 Jeep Wrangler"/>
    <x v="30"/>
    <n v="53339"/>
    <s v="USD"/>
    <x v="6"/>
    <x v="0"/>
    <x v="0"/>
    <x v="0"/>
    <x v="1"/>
    <x v="0"/>
    <n v="8843"/>
    <x v="0"/>
    <s v="truecar"/>
    <d v="2022-07-13T00:00:00"/>
  </r>
  <r>
    <s v="2014 Lexus ES"/>
    <x v="140"/>
    <n v="17975"/>
    <s v="USD"/>
    <x v="1"/>
    <x v="30"/>
    <x v="2"/>
    <x v="0"/>
    <x v="0"/>
    <x v="8"/>
    <n v="149744"/>
    <x v="3"/>
    <s v="truecar"/>
    <d v="2022-07-13T00:00:00"/>
  </r>
  <r>
    <s v="2017 Toyota Tundra"/>
    <x v="141"/>
    <n v="30288"/>
    <s v="USD"/>
    <x v="5"/>
    <x v="3"/>
    <x v="1"/>
    <x v="0"/>
    <x v="0"/>
    <x v="3"/>
    <n v="65261"/>
    <x v="1"/>
    <s v="truecar"/>
    <d v="2022-07-13T00:00:00"/>
  </r>
  <r>
    <s v="2019 Jaguar F-TYPE"/>
    <x v="142"/>
    <n v="52950"/>
    <s v="USD"/>
    <x v="2"/>
    <x v="32"/>
    <x v="7"/>
    <x v="0"/>
    <x v="0"/>
    <x v="6"/>
    <n v="7703"/>
    <x v="1"/>
    <s v="truecar"/>
    <d v="2022-07-13T00:00:00"/>
  </r>
  <r>
    <s v="2017 Porsche Cayenne"/>
    <x v="120"/>
    <n v="42250"/>
    <s v="USD"/>
    <x v="5"/>
    <x v="8"/>
    <x v="0"/>
    <x v="0"/>
    <x v="0"/>
    <x v="0"/>
    <n v="75118"/>
    <x v="2"/>
    <s v="truecar"/>
    <d v="2022-07-13T00:00:00"/>
  </r>
  <r>
    <s v="2021 Mazda CX-5"/>
    <x v="105"/>
    <n v="26697"/>
    <s v="USD"/>
    <x v="6"/>
    <x v="29"/>
    <x v="0"/>
    <x v="0"/>
    <x v="0"/>
    <x v="12"/>
    <n v="47640"/>
    <x v="2"/>
    <s v="truecar"/>
    <d v="2022-07-13T00:00:00"/>
  </r>
  <r>
    <s v="2019 Honda Pilot"/>
    <x v="35"/>
    <n v="37329"/>
    <s v="USD"/>
    <x v="2"/>
    <x v="14"/>
    <x v="0"/>
    <x v="0"/>
    <x v="0"/>
    <x v="8"/>
    <n v="26119"/>
    <x v="2"/>
    <s v="truecar"/>
    <d v="2022-07-13T00:00:00"/>
  </r>
  <r>
    <s v="2021 Toyota Tundra"/>
    <x v="141"/>
    <n v="39999"/>
    <s v="USD"/>
    <x v="6"/>
    <x v="3"/>
    <x v="1"/>
    <x v="0"/>
    <x v="0"/>
    <x v="3"/>
    <n v="23049"/>
    <x v="1"/>
    <s v="truecar"/>
    <d v="2022-07-13T00:00:00"/>
  </r>
  <r>
    <s v="2020 Kia Optima"/>
    <x v="64"/>
    <n v="29995"/>
    <s v="USD"/>
    <x v="3"/>
    <x v="22"/>
    <x v="2"/>
    <x v="0"/>
    <x v="0"/>
    <x v="2"/>
    <n v="17647"/>
    <x v="3"/>
    <s v="truecar"/>
    <d v="2022-07-13T00:00:00"/>
  </r>
  <r>
    <s v="2016 Audi Q3"/>
    <x v="143"/>
    <n v="22699"/>
    <s v="USD"/>
    <x v="0"/>
    <x v="17"/>
    <x v="0"/>
    <x v="0"/>
    <x v="0"/>
    <x v="6"/>
    <n v="81481"/>
    <x v="2"/>
    <s v="truecar"/>
    <d v="2022-07-13T00:00:00"/>
  </r>
  <r>
    <s v="2016 BMW X3"/>
    <x v="47"/>
    <n v="18989"/>
    <s v="USD"/>
    <x v="0"/>
    <x v="13"/>
    <x v="0"/>
    <x v="0"/>
    <x v="0"/>
    <x v="6"/>
    <n v="91850"/>
    <x v="2"/>
    <s v="truecar"/>
    <d v="2022-07-13T00:00:00"/>
  </r>
  <r>
    <s v="2022 Hyundai Santa Fe"/>
    <x v="144"/>
    <n v="42998"/>
    <s v="USD"/>
    <x v="10"/>
    <x v="9"/>
    <x v="0"/>
    <x v="0"/>
    <x v="0"/>
    <x v="38"/>
    <n v="907"/>
    <x v="3"/>
    <s v="truecar"/>
    <d v="2022-07-13T00:00:00"/>
  </r>
  <r>
    <s v="2012 Toyota Camry"/>
    <x v="22"/>
    <n v="14000"/>
    <s v="USD"/>
    <x v="7"/>
    <x v="3"/>
    <x v="2"/>
    <x v="0"/>
    <x v="0"/>
    <x v="12"/>
    <n v="129736"/>
    <x v="3"/>
    <s v="truecar"/>
    <d v="2022-07-13T00:00:00"/>
  </r>
  <r>
    <s v="2021 Subaru Forester"/>
    <x v="145"/>
    <n v="29500"/>
    <s v="USD"/>
    <x v="6"/>
    <x v="15"/>
    <x v="0"/>
    <x v="0"/>
    <x v="0"/>
    <x v="59"/>
    <n v="10859"/>
    <x v="2"/>
    <s v="truecar"/>
    <d v="2022-07-13T00:00:00"/>
  </r>
  <r>
    <s v="2018 Ram ProMaster Cargo Van"/>
    <x v="146"/>
    <n v="42995"/>
    <s v="USD"/>
    <x v="9"/>
    <x v="2"/>
    <x v="6"/>
    <x v="0"/>
    <x v="0"/>
    <x v="0"/>
    <n v="19715"/>
    <x v="3"/>
    <s v="truecar"/>
    <d v="2022-07-13T00:00:00"/>
  </r>
  <r>
    <s v="2015 Ford Expedition"/>
    <x v="77"/>
    <n v="26800"/>
    <s v="USD"/>
    <x v="4"/>
    <x v="1"/>
    <x v="0"/>
    <x v="0"/>
    <x v="0"/>
    <x v="5"/>
    <n v="63882"/>
    <x v="0"/>
    <s v="truecar"/>
    <d v="2022-07-13T00:00:00"/>
  </r>
  <r>
    <s v="2019 Ford F-150"/>
    <x v="1"/>
    <n v="43998"/>
    <s v="USD"/>
    <x v="2"/>
    <x v="1"/>
    <x v="1"/>
    <x v="0"/>
    <x v="0"/>
    <x v="36"/>
    <n v="18390"/>
    <x v="0"/>
    <s v="truecar"/>
    <d v="2022-07-13T00:00:00"/>
  </r>
  <r>
    <s v="2017 Ford Edge"/>
    <x v="32"/>
    <n v="25913"/>
    <s v="USD"/>
    <x v="5"/>
    <x v="1"/>
    <x v="0"/>
    <x v="0"/>
    <x v="0"/>
    <x v="5"/>
    <n v="50322"/>
    <x v="2"/>
    <s v="truecar"/>
    <d v="2022-07-13T00:00:00"/>
  </r>
  <r>
    <s v="2020 Ram 1500"/>
    <x v="2"/>
    <n v="34900"/>
    <s v="USD"/>
    <x v="3"/>
    <x v="2"/>
    <x v="1"/>
    <x v="0"/>
    <x v="0"/>
    <x v="3"/>
    <n v="49670"/>
    <x v="0"/>
    <s v="truecar"/>
    <d v="2022-07-1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B20282-17EE-40A6-AE43-7D8155F7366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9:H24" firstHeaderRow="1" firstDataRow="1" firstDataCol="1"/>
  <pivotFields count="14">
    <pivotField showAll="0"/>
    <pivotField dataField="1" showAll="0"/>
    <pivotField numFmtId="164" showAll="0"/>
    <pivotField showAll="0"/>
    <pivotField showAll="0">
      <items count="19">
        <item x="13"/>
        <item x="17"/>
        <item x="14"/>
        <item x="8"/>
        <item x="16"/>
        <item x="11"/>
        <item x="15"/>
        <item x="7"/>
        <item x="12"/>
        <item x="1"/>
        <item x="4"/>
        <item x="0"/>
        <item x="5"/>
        <item x="9"/>
        <item x="2"/>
        <item x="3"/>
        <item x="6"/>
        <item x="10"/>
        <item t="default"/>
      </items>
    </pivotField>
    <pivotField showAll="0"/>
    <pivotField showAll="0">
      <items count="9">
        <item x="6"/>
        <item x="4"/>
        <item x="7"/>
        <item x="3"/>
        <item x="5"/>
        <item x="1"/>
        <item x="2"/>
        <item x="0"/>
        <item t="default"/>
      </items>
    </pivotField>
    <pivotField showAll="0"/>
    <pivotField showAll="0">
      <items count="3">
        <item x="0"/>
        <item x="1"/>
        <item t="default"/>
      </items>
    </pivotField>
    <pivotField showAll="0">
      <items count="61">
        <item x="54"/>
        <item x="13"/>
        <item x="19"/>
        <item x="57"/>
        <item x="41"/>
        <item x="47"/>
        <item x="9"/>
        <item x="31"/>
        <item x="6"/>
        <item x="18"/>
        <item x="29"/>
        <item x="26"/>
        <item x="15"/>
        <item x="2"/>
        <item x="16"/>
        <item x="44"/>
        <item x="59"/>
        <item x="12"/>
        <item x="38"/>
        <item x="36"/>
        <item x="50"/>
        <item x="51"/>
        <item x="32"/>
        <item x="45"/>
        <item x="28"/>
        <item x="48"/>
        <item x="17"/>
        <item x="23"/>
        <item x="34"/>
        <item x="39"/>
        <item x="8"/>
        <item x="5"/>
        <item x="7"/>
        <item x="0"/>
        <item x="42"/>
        <item x="52"/>
        <item x="11"/>
        <item x="21"/>
        <item x="58"/>
        <item x="30"/>
        <item x="10"/>
        <item x="22"/>
        <item x="49"/>
        <item x="46"/>
        <item x="37"/>
        <item x="40"/>
        <item x="43"/>
        <item x="20"/>
        <item x="33"/>
        <item x="3"/>
        <item x="27"/>
        <item x="1"/>
        <item x="56"/>
        <item x="55"/>
        <item x="25"/>
        <item x="14"/>
        <item x="35"/>
        <item x="24"/>
        <item x="53"/>
        <item x="4"/>
        <item t="default"/>
      </items>
    </pivotField>
    <pivotField showAll="0"/>
    <pivotField axis="axisRow" showAll="0">
      <items count="5">
        <item x="0"/>
        <item x="2"/>
        <item x="3"/>
        <item x="1"/>
        <item t="default"/>
      </items>
    </pivotField>
    <pivotField showAll="0"/>
    <pivotField numFmtId="14" showAll="0"/>
  </pivotFields>
  <rowFields count="1">
    <field x="11"/>
  </rowFields>
  <rowItems count="5">
    <i>
      <x/>
    </i>
    <i>
      <x v="1"/>
    </i>
    <i>
      <x v="2"/>
    </i>
    <i>
      <x v="3"/>
    </i>
    <i t="grand">
      <x/>
    </i>
  </rowItems>
  <colItems count="1">
    <i/>
  </colItems>
  <dataFields count="1">
    <dataField name="Count of model" fld="1" subtotal="count" baseField="0" baseItem="0"/>
  </dataFields>
  <formats count="1">
    <format dxfId="9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5E210B-A138-4C1F-84BE-7E1825FD188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5:K11" firstHeaderRow="1" firstDataRow="1" firstDataCol="1"/>
  <pivotFields count="14">
    <pivotField showAll="0"/>
    <pivotField showAll="0">
      <items count="148">
        <item x="2"/>
        <item x="109"/>
        <item x="119"/>
        <item x="90"/>
        <item x="51"/>
        <item x="80"/>
        <item x="68"/>
        <item x="63"/>
        <item x="9"/>
        <item x="138"/>
        <item x="58"/>
        <item x="76"/>
        <item x="25"/>
        <item x="39"/>
        <item x="6"/>
        <item x="23"/>
        <item x="115"/>
        <item x="126"/>
        <item x="50"/>
        <item x="101"/>
        <item x="22"/>
        <item x="134"/>
        <item x="120"/>
        <item x="27"/>
        <item x="133"/>
        <item x="13"/>
        <item x="92"/>
        <item x="71"/>
        <item x="137"/>
        <item x="19"/>
        <item x="3"/>
        <item x="78"/>
        <item x="98"/>
        <item x="99"/>
        <item x="131"/>
        <item x="118"/>
        <item x="31"/>
        <item x="139"/>
        <item x="123"/>
        <item x="125"/>
        <item x="105"/>
        <item x="83"/>
        <item x="29"/>
        <item x="86"/>
        <item x="32"/>
        <item x="11"/>
        <item x="48"/>
        <item x="72"/>
        <item x="55"/>
        <item x="74"/>
        <item x="7"/>
        <item x="140"/>
        <item x="77"/>
        <item x="43"/>
        <item x="135"/>
        <item x="1"/>
        <item x="16"/>
        <item x="145"/>
        <item x="114"/>
        <item x="142"/>
        <item x="84"/>
        <item x="129"/>
        <item x="70"/>
        <item x="107"/>
        <item x="79"/>
        <item x="28"/>
        <item x="106"/>
        <item x="38"/>
        <item x="87"/>
        <item x="37"/>
        <item x="56"/>
        <item x="0"/>
        <item x="36"/>
        <item x="116"/>
        <item x="117"/>
        <item x="95"/>
        <item x="88"/>
        <item x="75"/>
        <item x="108"/>
        <item x="73"/>
        <item x="103"/>
        <item x="121"/>
        <item x="57"/>
        <item x="15"/>
        <item x="89"/>
        <item x="96"/>
        <item x="110"/>
        <item x="113"/>
        <item x="5"/>
        <item x="12"/>
        <item x="81"/>
        <item x="112"/>
        <item x="64"/>
        <item x="62"/>
        <item x="18"/>
        <item x="35"/>
        <item x="146"/>
        <item x="143"/>
        <item x="59"/>
        <item x="97"/>
        <item x="124"/>
        <item x="93"/>
        <item x="94"/>
        <item x="104"/>
        <item x="8"/>
        <item x="41"/>
        <item x="24"/>
        <item x="53"/>
        <item x="17"/>
        <item x="44"/>
        <item x="34"/>
        <item x="128"/>
        <item x="144"/>
        <item x="82"/>
        <item x="45"/>
        <item x="65"/>
        <item x="4"/>
        <item x="10"/>
        <item x="91"/>
        <item x="122"/>
        <item x="67"/>
        <item x="102"/>
        <item x="21"/>
        <item x="42"/>
        <item x="111"/>
        <item x="49"/>
        <item x="132"/>
        <item x="46"/>
        <item x="60"/>
        <item x="40"/>
        <item x="66"/>
        <item x="33"/>
        <item x="54"/>
        <item x="61"/>
        <item x="136"/>
        <item x="69"/>
        <item x="20"/>
        <item x="141"/>
        <item x="130"/>
        <item x="30"/>
        <item x="47"/>
        <item x="14"/>
        <item x="52"/>
        <item x="127"/>
        <item x="100"/>
        <item x="26"/>
        <item x="85"/>
        <item t="default"/>
      </items>
    </pivotField>
    <pivotField dataField="1" numFmtId="164" showAll="0"/>
    <pivotField showAll="0"/>
    <pivotField showAll="0">
      <items count="19">
        <item x="13"/>
        <item x="17"/>
        <item x="14"/>
        <item x="8"/>
        <item x="16"/>
        <item x="11"/>
        <item x="15"/>
        <item x="7"/>
        <item x="12"/>
        <item x="1"/>
        <item x="4"/>
        <item x="0"/>
        <item x="5"/>
        <item x="9"/>
        <item x="2"/>
        <item x="3"/>
        <item x="6"/>
        <item x="10"/>
        <item t="default"/>
      </items>
    </pivotField>
    <pivotField axis="axisRow" showAll="0" measureFilter="1">
      <items count="34">
        <item x="24"/>
        <item x="21"/>
        <item x="17"/>
        <item x="13"/>
        <item x="25"/>
        <item x="16"/>
        <item x="6"/>
        <item x="27"/>
        <item x="11"/>
        <item x="23"/>
        <item x="1"/>
        <item x="20"/>
        <item x="14"/>
        <item x="9"/>
        <item x="26"/>
        <item x="32"/>
        <item x="0"/>
        <item x="22"/>
        <item x="7"/>
        <item x="30"/>
        <item x="28"/>
        <item x="31"/>
        <item x="29"/>
        <item x="19"/>
        <item x="18"/>
        <item x="10"/>
        <item x="8"/>
        <item x="2"/>
        <item x="15"/>
        <item x="4"/>
        <item x="3"/>
        <item x="5"/>
        <item x="12"/>
        <item t="default"/>
      </items>
    </pivotField>
    <pivotField showAll="0">
      <items count="9">
        <item x="6"/>
        <item x="4"/>
        <item x="7"/>
        <item x="3"/>
        <item x="5"/>
        <item x="1"/>
        <item x="2"/>
        <item x="0"/>
        <item t="default"/>
      </items>
    </pivotField>
    <pivotField showAll="0"/>
    <pivotField showAll="0">
      <items count="3">
        <item x="0"/>
        <item x="1"/>
        <item t="default"/>
      </items>
    </pivotField>
    <pivotField showAll="0">
      <items count="61">
        <item x="54"/>
        <item x="13"/>
        <item x="19"/>
        <item x="57"/>
        <item x="41"/>
        <item x="47"/>
        <item x="9"/>
        <item x="31"/>
        <item x="6"/>
        <item x="18"/>
        <item x="29"/>
        <item x="26"/>
        <item x="15"/>
        <item x="2"/>
        <item x="16"/>
        <item x="44"/>
        <item x="59"/>
        <item x="12"/>
        <item x="38"/>
        <item x="36"/>
        <item x="50"/>
        <item x="51"/>
        <item x="32"/>
        <item x="45"/>
        <item x="28"/>
        <item x="48"/>
        <item x="17"/>
        <item x="23"/>
        <item x="34"/>
        <item x="39"/>
        <item x="8"/>
        <item x="5"/>
        <item x="7"/>
        <item x="0"/>
        <item x="42"/>
        <item x="52"/>
        <item x="11"/>
        <item x="21"/>
        <item x="58"/>
        <item x="30"/>
        <item x="10"/>
        <item x="22"/>
        <item x="49"/>
        <item x="46"/>
        <item x="37"/>
        <item x="40"/>
        <item x="43"/>
        <item x="20"/>
        <item x="33"/>
        <item x="3"/>
        <item x="27"/>
        <item x="1"/>
        <item x="56"/>
        <item x="55"/>
        <item x="25"/>
        <item x="14"/>
        <item x="35"/>
        <item x="24"/>
        <item x="53"/>
        <item x="4"/>
        <item t="default"/>
      </items>
    </pivotField>
    <pivotField showAll="0"/>
    <pivotField showAll="0">
      <items count="5">
        <item x="0"/>
        <item x="2"/>
        <item x="3"/>
        <item x="1"/>
        <item t="default"/>
      </items>
    </pivotField>
    <pivotField showAll="0"/>
    <pivotField numFmtId="14" showAll="0"/>
  </pivotFields>
  <rowFields count="1">
    <field x="5"/>
  </rowFields>
  <rowItems count="6">
    <i>
      <x v="6"/>
    </i>
    <i>
      <x v="10"/>
    </i>
    <i>
      <x v="23"/>
    </i>
    <i>
      <x v="27"/>
    </i>
    <i>
      <x v="30"/>
    </i>
    <i t="grand">
      <x/>
    </i>
  </rowItems>
  <colItems count="1">
    <i/>
  </colItems>
  <dataFields count="1">
    <dataField name="Sum of price" fld="2" baseField="0" baseItem="0"/>
  </dataFields>
  <formats count="1">
    <format dxfId="9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76F187-8F26-4162-AEFF-CDC877DD7A5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23" firstHeaderRow="1" firstDataRow="1" firstDataCol="1"/>
  <pivotFields count="14">
    <pivotField showAll="0"/>
    <pivotField dataField="1" showAll="0"/>
    <pivotField numFmtId="164" showAll="0"/>
    <pivotField showAll="0"/>
    <pivotField showAll="0">
      <items count="19">
        <item x="13"/>
        <item x="17"/>
        <item x="14"/>
        <item x="8"/>
        <item x="16"/>
        <item x="11"/>
        <item x="15"/>
        <item x="7"/>
        <item x="12"/>
        <item x="1"/>
        <item x="4"/>
        <item x="0"/>
        <item x="5"/>
        <item x="9"/>
        <item x="2"/>
        <item x="3"/>
        <item x="6"/>
        <item x="10"/>
        <item t="default"/>
      </items>
    </pivotField>
    <pivotField showAll="0"/>
    <pivotField showAll="0">
      <items count="9">
        <item x="6"/>
        <item x="4"/>
        <item x="7"/>
        <item x="3"/>
        <item x="5"/>
        <item x="1"/>
        <item x="2"/>
        <item x="0"/>
        <item t="default"/>
      </items>
    </pivotField>
    <pivotField showAll="0"/>
    <pivotField axis="axisRow" showAll="0">
      <items count="3">
        <item x="0"/>
        <item x="1"/>
        <item t="default"/>
      </items>
    </pivotField>
    <pivotField showAll="0"/>
    <pivotField showAll="0"/>
    <pivotField showAll="0"/>
    <pivotField showAll="0"/>
    <pivotField numFmtId="14" showAll="0"/>
  </pivotFields>
  <rowFields count="1">
    <field x="8"/>
  </rowFields>
  <rowItems count="3">
    <i>
      <x/>
    </i>
    <i>
      <x v="1"/>
    </i>
    <i t="grand">
      <x/>
    </i>
  </rowItems>
  <colItems count="1">
    <i/>
  </colItems>
  <dataFields count="1">
    <dataField name="Count of model" fld="1" subtotal="count" baseField="0" baseItem="0"/>
  </dataFields>
  <formats count="1">
    <format dxfId="95">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4A6C52-986E-4AEC-8213-79A2CD9FA4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K23" firstHeaderRow="1" firstDataRow="1" firstDataCol="1"/>
  <pivotFields count="14">
    <pivotField showAll="0"/>
    <pivotField dataField="1" showAll="0">
      <items count="148">
        <item x="2"/>
        <item x="109"/>
        <item x="119"/>
        <item x="90"/>
        <item x="51"/>
        <item x="80"/>
        <item x="68"/>
        <item x="63"/>
        <item x="9"/>
        <item x="138"/>
        <item x="58"/>
        <item x="76"/>
        <item x="25"/>
        <item x="39"/>
        <item x="6"/>
        <item x="23"/>
        <item x="115"/>
        <item x="126"/>
        <item x="50"/>
        <item x="101"/>
        <item x="22"/>
        <item x="134"/>
        <item x="120"/>
        <item x="27"/>
        <item x="133"/>
        <item x="13"/>
        <item x="92"/>
        <item x="71"/>
        <item x="137"/>
        <item x="19"/>
        <item x="3"/>
        <item x="78"/>
        <item x="98"/>
        <item x="99"/>
        <item x="131"/>
        <item x="118"/>
        <item x="31"/>
        <item x="139"/>
        <item x="123"/>
        <item x="125"/>
        <item x="105"/>
        <item x="83"/>
        <item x="29"/>
        <item x="86"/>
        <item x="32"/>
        <item x="11"/>
        <item x="48"/>
        <item x="72"/>
        <item x="55"/>
        <item x="74"/>
        <item x="7"/>
        <item x="140"/>
        <item x="77"/>
        <item x="43"/>
        <item x="135"/>
        <item x="1"/>
        <item x="16"/>
        <item x="145"/>
        <item x="114"/>
        <item x="142"/>
        <item x="84"/>
        <item x="129"/>
        <item x="70"/>
        <item x="107"/>
        <item x="79"/>
        <item x="28"/>
        <item x="106"/>
        <item x="38"/>
        <item x="87"/>
        <item x="37"/>
        <item x="56"/>
        <item x="0"/>
        <item x="36"/>
        <item x="116"/>
        <item x="117"/>
        <item x="95"/>
        <item x="88"/>
        <item x="75"/>
        <item x="108"/>
        <item x="73"/>
        <item x="103"/>
        <item x="121"/>
        <item x="57"/>
        <item x="15"/>
        <item x="89"/>
        <item x="96"/>
        <item x="110"/>
        <item x="113"/>
        <item x="5"/>
        <item x="12"/>
        <item x="81"/>
        <item x="112"/>
        <item x="64"/>
        <item x="62"/>
        <item x="18"/>
        <item x="35"/>
        <item x="146"/>
        <item x="143"/>
        <item x="59"/>
        <item x="97"/>
        <item x="124"/>
        <item x="93"/>
        <item x="94"/>
        <item x="104"/>
        <item x="8"/>
        <item x="41"/>
        <item x="24"/>
        <item x="53"/>
        <item x="17"/>
        <item x="44"/>
        <item x="34"/>
        <item x="128"/>
        <item x="144"/>
        <item x="82"/>
        <item x="45"/>
        <item x="65"/>
        <item x="4"/>
        <item x="10"/>
        <item x="91"/>
        <item x="122"/>
        <item x="67"/>
        <item x="102"/>
        <item x="21"/>
        <item x="42"/>
        <item x="111"/>
        <item x="49"/>
        <item x="132"/>
        <item x="46"/>
        <item x="60"/>
        <item x="40"/>
        <item x="66"/>
        <item x="33"/>
        <item x="54"/>
        <item x="61"/>
        <item x="136"/>
        <item x="69"/>
        <item x="20"/>
        <item x="141"/>
        <item x="130"/>
        <item x="30"/>
        <item x="47"/>
        <item x="14"/>
        <item x="52"/>
        <item x="127"/>
        <item x="100"/>
        <item x="26"/>
        <item x="85"/>
        <item t="default"/>
      </items>
    </pivotField>
    <pivotField numFmtId="164" showAll="0"/>
    <pivotField showAll="0"/>
    <pivotField showAll="0">
      <items count="19">
        <item x="13"/>
        <item x="17"/>
        <item x="14"/>
        <item x="8"/>
        <item x="16"/>
        <item x="11"/>
        <item x="15"/>
        <item x="7"/>
        <item x="12"/>
        <item x="1"/>
        <item x="4"/>
        <item x="0"/>
        <item x="5"/>
        <item x="9"/>
        <item x="2"/>
        <item x="3"/>
        <item x="6"/>
        <item x="10"/>
        <item t="default"/>
      </items>
    </pivotField>
    <pivotField showAll="0">
      <items count="34">
        <item x="24"/>
        <item x="21"/>
        <item x="17"/>
        <item x="13"/>
        <item x="25"/>
        <item x="16"/>
        <item x="6"/>
        <item x="27"/>
        <item x="11"/>
        <item x="23"/>
        <item x="1"/>
        <item x="20"/>
        <item x="14"/>
        <item x="9"/>
        <item x="26"/>
        <item x="32"/>
        <item x="0"/>
        <item x="22"/>
        <item x="7"/>
        <item x="30"/>
        <item x="28"/>
        <item x="31"/>
        <item x="29"/>
        <item x="19"/>
        <item x="18"/>
        <item x="10"/>
        <item x="8"/>
        <item x="2"/>
        <item x="15"/>
        <item x="4"/>
        <item x="3"/>
        <item x="5"/>
        <item x="12"/>
        <item t="default"/>
      </items>
    </pivotField>
    <pivotField showAll="0">
      <items count="9">
        <item x="6"/>
        <item x="4"/>
        <item x="7"/>
        <item x="3"/>
        <item x="5"/>
        <item x="1"/>
        <item x="2"/>
        <item x="0"/>
        <item t="default"/>
      </items>
    </pivotField>
    <pivotField axis="axisRow" showAll="0">
      <items count="5">
        <item x="2"/>
        <item x="1"/>
        <item x="0"/>
        <item x="3"/>
        <item t="default"/>
      </items>
    </pivotField>
    <pivotField showAll="0">
      <items count="3">
        <item x="0"/>
        <item x="1"/>
        <item t="default"/>
      </items>
    </pivotField>
    <pivotField showAll="0">
      <items count="61">
        <item x="54"/>
        <item x="13"/>
        <item x="19"/>
        <item x="57"/>
        <item x="41"/>
        <item x="47"/>
        <item x="9"/>
        <item x="31"/>
        <item x="6"/>
        <item x="18"/>
        <item x="29"/>
        <item x="26"/>
        <item x="15"/>
        <item x="2"/>
        <item x="16"/>
        <item x="44"/>
        <item x="59"/>
        <item x="12"/>
        <item x="38"/>
        <item x="36"/>
        <item x="50"/>
        <item x="51"/>
        <item x="32"/>
        <item x="45"/>
        <item x="28"/>
        <item x="48"/>
        <item x="17"/>
        <item x="23"/>
        <item x="34"/>
        <item x="39"/>
        <item x="8"/>
        <item x="5"/>
        <item x="7"/>
        <item x="0"/>
        <item x="42"/>
        <item x="52"/>
        <item x="11"/>
        <item x="21"/>
        <item x="58"/>
        <item x="30"/>
        <item x="10"/>
        <item x="22"/>
        <item x="49"/>
        <item x="46"/>
        <item x="37"/>
        <item x="40"/>
        <item x="43"/>
        <item x="20"/>
        <item x="33"/>
        <item x="3"/>
        <item x="27"/>
        <item x="1"/>
        <item x="56"/>
        <item x="55"/>
        <item x="25"/>
        <item x="14"/>
        <item x="35"/>
        <item x="24"/>
        <item x="53"/>
        <item x="4"/>
        <item t="default"/>
      </items>
    </pivotField>
    <pivotField showAll="0"/>
    <pivotField showAll="0">
      <items count="5">
        <item x="0"/>
        <item x="2"/>
        <item x="3"/>
        <item x="1"/>
        <item t="default"/>
      </items>
    </pivotField>
    <pivotField showAll="0"/>
    <pivotField numFmtId="14" showAll="0"/>
  </pivotFields>
  <rowFields count="1">
    <field x="7"/>
  </rowFields>
  <rowItems count="5">
    <i>
      <x/>
    </i>
    <i>
      <x v="1"/>
    </i>
    <i>
      <x v="2"/>
    </i>
    <i>
      <x v="3"/>
    </i>
    <i t="grand">
      <x/>
    </i>
  </rowItems>
  <colItems count="1">
    <i/>
  </colItems>
  <dataFields count="1">
    <dataField name="Count of model" fld="1" subtotal="count" baseField="0" baseItem="0"/>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F1CACC-05D8-4845-B509-2F0A6B2A418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dataField="1" showAll="0"/>
    <pivotField dataField="1" numFmtId="164" showAll="0"/>
    <pivotField showAll="0"/>
    <pivotField showAll="0"/>
    <pivotField showAll="0"/>
    <pivotField showAll="0"/>
    <pivotField showAll="0"/>
    <pivotField showAll="0">
      <items count="3">
        <item x="0"/>
        <item x="1"/>
        <item t="default"/>
      </items>
    </pivotField>
    <pivotField showAll="0"/>
    <pivotField dataField="1" showAll="0"/>
    <pivotField showAll="0"/>
    <pivotField showAll="0"/>
    <pivotField numFmtId="14" showAll="0"/>
  </pivotFields>
  <rowItems count="1">
    <i/>
  </rowItems>
  <colFields count="1">
    <field x="-2"/>
  </colFields>
  <colItems count="4">
    <i>
      <x/>
    </i>
    <i i="1">
      <x v="1"/>
    </i>
    <i i="2">
      <x v="2"/>
    </i>
    <i i="3">
      <x v="3"/>
    </i>
  </colItems>
  <dataFields count="4">
    <dataField name="Total KM driven" fld="10" baseField="0" baseItem="0"/>
    <dataField name="Sum of price" fld="2" baseField="0" baseItem="0"/>
    <dataField name="Avgr selling price" fld="2" subtotal="average" baseField="0" baseItem="1"/>
    <dataField name="Total units sol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B0406B-C56B-48B2-A140-588CE0DD3E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7:E16" firstHeaderRow="1" firstDataRow="1" firstDataCol="1"/>
  <pivotFields count="14">
    <pivotField showAll="0"/>
    <pivotField dataField="1" showAll="0"/>
    <pivotField numFmtId="164" showAll="0"/>
    <pivotField showAll="0"/>
    <pivotField showAll="0">
      <items count="19">
        <item x="13"/>
        <item x="17"/>
        <item x="14"/>
        <item x="8"/>
        <item x="16"/>
        <item x="11"/>
        <item x="15"/>
        <item x="7"/>
        <item x="12"/>
        <item x="1"/>
        <item x="4"/>
        <item x="0"/>
        <item x="5"/>
        <item x="9"/>
        <item x="2"/>
        <item x="3"/>
        <item x="6"/>
        <item x="10"/>
        <item t="default"/>
      </items>
    </pivotField>
    <pivotField showAll="0"/>
    <pivotField axis="axisRow" showAll="0">
      <items count="9">
        <item x="6"/>
        <item x="4"/>
        <item x="7"/>
        <item x="3"/>
        <item x="5"/>
        <item x="1"/>
        <item x="2"/>
        <item x="0"/>
        <item t="default"/>
      </items>
    </pivotField>
    <pivotField showAll="0"/>
    <pivotField showAll="0">
      <items count="3">
        <item x="0"/>
        <item x="1"/>
        <item t="default"/>
      </items>
    </pivotField>
    <pivotField showAll="0"/>
    <pivotField showAll="0"/>
    <pivotField showAll="0"/>
    <pivotField showAll="0"/>
    <pivotField numFmtId="14" showAll="0"/>
  </pivotFields>
  <rowFields count="1">
    <field x="6"/>
  </rowFields>
  <rowItems count="9">
    <i>
      <x/>
    </i>
    <i>
      <x v="1"/>
    </i>
    <i>
      <x v="2"/>
    </i>
    <i>
      <x v="3"/>
    </i>
    <i>
      <x v="4"/>
    </i>
    <i>
      <x v="5"/>
    </i>
    <i>
      <x v="6"/>
    </i>
    <i>
      <x v="7"/>
    </i>
    <i t="grand">
      <x/>
    </i>
  </rowItems>
  <colItems count="1">
    <i/>
  </colItems>
  <dataFields count="1">
    <dataField name="Count of model" fld="1" subtotal="count" baseField="0" baseItem="0"/>
  </dataFields>
  <formats count="1">
    <format dxfId="97">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732A81-7AFD-4237-93E0-690C148DC52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27" firstHeaderRow="1" firstDataRow="1" firstDataCol="1"/>
  <pivotFields count="14">
    <pivotField showAll="0"/>
    <pivotField showAll="0"/>
    <pivotField dataField="1" numFmtId="164" showAll="0"/>
    <pivotField showAll="0"/>
    <pivotField axis="axisRow" showAll="0">
      <items count="19">
        <item x="13"/>
        <item x="17"/>
        <item x="14"/>
        <item x="8"/>
        <item x="16"/>
        <item x="11"/>
        <item x="15"/>
        <item x="7"/>
        <item x="12"/>
        <item x="1"/>
        <item x="4"/>
        <item x="0"/>
        <item x="5"/>
        <item x="9"/>
        <item x="2"/>
        <item x="3"/>
        <item x="6"/>
        <item x="10"/>
        <item t="default"/>
      </items>
    </pivotField>
    <pivotField showAll="0"/>
    <pivotField showAll="0"/>
    <pivotField showAll="0"/>
    <pivotField showAll="0">
      <items count="3">
        <item x="0"/>
        <item x="1"/>
        <item t="default"/>
      </items>
    </pivotField>
    <pivotField showAll="0"/>
    <pivotField showAll="0"/>
    <pivotField showAll="0"/>
    <pivotField showAll="0"/>
    <pivotField numFmtId="14" showAll="0"/>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ice" fld="2" baseField="0" baseItem="0" numFmtId="165"/>
  </dataFields>
  <formats count="1">
    <format dxfId="9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1DA6C1-9631-47C2-B176-6AAF045D42C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15" firstHeaderRow="1" firstDataRow="1" firstDataCol="1"/>
  <pivotFields count="14">
    <pivotField showAll="0"/>
    <pivotField showAll="0"/>
    <pivotField dataField="1" numFmtId="164" showAll="0"/>
    <pivotField showAll="0"/>
    <pivotField showAll="0">
      <items count="19">
        <item x="13"/>
        <item x="17"/>
        <item x="14"/>
        <item x="8"/>
        <item x="16"/>
        <item x="11"/>
        <item x="15"/>
        <item x="7"/>
        <item x="12"/>
        <item x="1"/>
        <item x="4"/>
        <item x="0"/>
        <item x="5"/>
        <item x="9"/>
        <item x="2"/>
        <item x="3"/>
        <item x="6"/>
        <item x="10"/>
        <item t="default"/>
      </items>
    </pivotField>
    <pivotField showAll="0"/>
    <pivotField axis="axisRow" showAll="0">
      <items count="9">
        <item x="6"/>
        <item x="4"/>
        <item x="7"/>
        <item x="3"/>
        <item x="5"/>
        <item x="1"/>
        <item x="2"/>
        <item x="0"/>
        <item t="default"/>
      </items>
    </pivotField>
    <pivotField showAll="0"/>
    <pivotField showAll="0">
      <items count="3">
        <item x="0"/>
        <item x="1"/>
        <item t="default"/>
      </items>
    </pivotField>
    <pivotField showAll="0"/>
    <pivotField showAll="0"/>
    <pivotField showAll="0"/>
    <pivotField showAll="0"/>
    <pivotField numFmtId="14" showAll="0"/>
  </pivotFields>
  <rowFields count="1">
    <field x="6"/>
  </rowFields>
  <rowItems count="9">
    <i>
      <x/>
    </i>
    <i>
      <x v="1"/>
    </i>
    <i>
      <x v="2"/>
    </i>
    <i>
      <x v="3"/>
    </i>
    <i>
      <x v="4"/>
    </i>
    <i>
      <x v="5"/>
    </i>
    <i>
      <x v="6"/>
    </i>
    <i>
      <x v="7"/>
    </i>
    <i t="grand">
      <x/>
    </i>
  </rowItems>
  <colItems count="1">
    <i/>
  </colItems>
  <dataFields count="1">
    <dataField name="Sum of price" fld="2" baseField="0" baseItem="0"/>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91790B-6292-49AC-9971-042F48A48127}" autoFormatId="16" applyNumberFormats="0" applyBorderFormats="0" applyFontFormats="0" applyPatternFormats="0" applyAlignmentFormats="0" applyWidthHeightFormats="0">
  <queryTableRefresh nextId="15">
    <queryTableFields count="14">
      <queryTableField id="1" name="name" tableColumnId="1"/>
      <queryTableField id="2" name="model" tableColumnId="2"/>
      <queryTableField id="3" name="price" tableColumnId="3"/>
      <queryTableField id="4" name="currency" tableColumnId="4"/>
      <queryTableField id="5" name="release_date" tableColumnId="5"/>
      <queryTableField id="6" name="brand" tableColumnId="6"/>
      <queryTableField id="7" name="category" tableColumnId="7"/>
      <queryTableField id="8" name="fuel_type" tableColumnId="8"/>
      <queryTableField id="9" name="vehicle_transmission" tableColumnId="9"/>
      <queryTableField id="10" name="engine" tableColumnId="10"/>
      <queryTableField id="11" name="total_km_driven" tableColumnId="11"/>
      <queryTableField id="12" name="wheel_configuration" tableColumnId="12"/>
      <queryTableField id="13" name="source" tableColumnId="13"/>
      <queryTableField id="14" name="scraped_a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ransmission" xr10:uid="{D15C5758-FDCF-410B-A851-27BB50F3C16B}" sourceName="vehicle_transmission">
  <pivotTables>
    <pivotTable tabId="5" name="PivotTable11"/>
    <pivotTable tabId="5" name="PivotTable1"/>
    <pivotTable tabId="5" name="PivotTable10"/>
    <pivotTable tabId="5" name="PivotTable12"/>
    <pivotTable tabId="5" name="PivotTable13"/>
    <pivotTable tabId="5" name="PivotTable14"/>
    <pivotTable tabId="5" name="PivotTable15"/>
    <pivotTable tabId="5" name="PivotTable9"/>
  </pivotTables>
  <data>
    <tabular pivotCacheId="201731534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ransmission" xr10:uid="{1C0F7B41-60D3-4FDC-93BC-50F3D8D53562}" cache="Slicer_vehicle_transmission" caption="vehicle_transmission" columnCount="2" showCaption="0"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581FA-68BF-4324-BBF5-9D92FFBB94E1}" name="used_cars_data_from_truecar_usa" displayName="used_cars_data_from_truecar_usa" ref="A1:N256" tableType="queryTable" totalsRowShown="0">
  <autoFilter ref="A1:N256" xr:uid="{2BE581FA-68BF-4324-BBF5-9D92FFBB94E1}"/>
  <tableColumns count="14">
    <tableColumn id="1" xr3:uid="{B50B4583-881A-42C3-9E00-09829B327B96}" uniqueName="1" name="Title" queryTableFieldId="1" dataDxfId="92"/>
    <tableColumn id="2" xr3:uid="{90AF1E2F-8E57-40B0-8BE3-734C64937A2C}" uniqueName="2" name="model" queryTableFieldId="2" dataDxfId="91"/>
    <tableColumn id="3" xr3:uid="{3E001B38-C8D6-483F-80C8-7FE3901DDC8F}" uniqueName="3" name="price" queryTableFieldId="3" dataDxfId="90" dataCellStyle="Currency"/>
    <tableColumn id="4" xr3:uid="{9900FA29-7EF3-4497-802B-CDC2F028854A}" uniqueName="4" name="currency" queryTableFieldId="4" dataDxfId="89"/>
    <tableColumn id="5" xr3:uid="{552D8F62-6580-4C0A-BD55-75F2CDA8FDD3}" uniqueName="5" name="Year" queryTableFieldId="5"/>
    <tableColumn id="6" xr3:uid="{2DD92632-1E96-4A65-8974-599E2E9CAC85}" uniqueName="6" name="brand" queryTableFieldId="6" dataDxfId="88"/>
    <tableColumn id="7" xr3:uid="{A5BD753F-CEBB-4460-9E5B-95AEB456936B}" uniqueName="7" name="category" queryTableFieldId="7" dataDxfId="87"/>
    <tableColumn id="8" xr3:uid="{BBFBFA74-55FF-4EA6-BCE5-94E34BFF46F0}" uniqueName="8" name="fuel_type" queryTableFieldId="8" dataDxfId="86"/>
    <tableColumn id="9" xr3:uid="{3C95C005-FF35-46AC-9DAB-93969B80BA45}" uniqueName="9" name="vehicle_transmission" queryTableFieldId="9" dataDxfId="85"/>
    <tableColumn id="10" xr3:uid="{D4379263-B7E8-49B7-AA96-5F614F159484}" uniqueName="10" name="engine" queryTableFieldId="10" dataDxfId="84"/>
    <tableColumn id="11" xr3:uid="{89B480CD-D3AE-40BE-B7DA-93B3F3AD0E36}" uniqueName="11" name="total_km_driven" queryTableFieldId="11"/>
    <tableColumn id="12" xr3:uid="{A37A1532-9510-4211-A95C-D04C4AADC054}" uniqueName="12" name="wheel_configuration" queryTableFieldId="12" dataDxfId="83"/>
    <tableColumn id="13" xr3:uid="{A0F88375-C116-47CD-95F6-73D90529389F}" uniqueName="13" name="source" queryTableFieldId="13" dataDxfId="82"/>
    <tableColumn id="14" xr3:uid="{00E04DAE-855C-4D8A-BEA4-6774C9705E91}" uniqueName="14" name="scraped_at" queryTableFieldId="14" dataDxfId="8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C0A3-7E19-4D15-AC0F-19565A227B05}">
  <dimension ref="A3:K27"/>
  <sheetViews>
    <sheetView workbookViewId="0"/>
  </sheetViews>
  <sheetFormatPr defaultRowHeight="15" x14ac:dyDescent="0.25"/>
  <cols>
    <col min="1" max="1" width="14.85546875" bestFit="1" customWidth="1"/>
    <col min="2" max="2" width="12.28515625" bestFit="1" customWidth="1"/>
    <col min="3" max="3" width="16.42578125" bestFit="1" customWidth="1"/>
    <col min="4" max="4" width="14.85546875" bestFit="1" customWidth="1"/>
    <col min="5" max="5" width="15.140625" bestFit="1" customWidth="1"/>
    <col min="7" max="7" width="13.42578125" bestFit="1" customWidth="1"/>
    <col min="8" max="8" width="15.140625" bestFit="1" customWidth="1"/>
    <col min="10" max="10" width="14.42578125" bestFit="1" customWidth="1"/>
    <col min="11" max="11" width="12.28515625" bestFit="1" customWidth="1"/>
  </cols>
  <sheetData>
    <row r="3" spans="1:11" x14ac:dyDescent="0.25">
      <c r="A3" t="s">
        <v>515</v>
      </c>
      <c r="B3" t="s">
        <v>507</v>
      </c>
      <c r="C3" t="s">
        <v>513</v>
      </c>
      <c r="D3" t="s">
        <v>514</v>
      </c>
    </row>
    <row r="4" spans="1:11" x14ac:dyDescent="0.25">
      <c r="A4" s="1">
        <v>14140965</v>
      </c>
      <c r="B4" s="1">
        <v>8790076</v>
      </c>
      <c r="C4" s="1">
        <v>34470.886274509801</v>
      </c>
      <c r="D4" s="1">
        <v>255</v>
      </c>
      <c r="J4" s="9" t="s">
        <v>520</v>
      </c>
      <c r="K4" s="9"/>
    </row>
    <row r="5" spans="1:11" x14ac:dyDescent="0.25">
      <c r="A5" s="6"/>
      <c r="B5" s="6"/>
      <c r="C5" s="6"/>
      <c r="D5" s="6"/>
      <c r="G5" s="9" t="s">
        <v>518</v>
      </c>
      <c r="H5" s="9"/>
      <c r="J5" s="4" t="s">
        <v>508</v>
      </c>
      <c r="K5" t="s">
        <v>507</v>
      </c>
    </row>
    <row r="6" spans="1:11" x14ac:dyDescent="0.25">
      <c r="D6" s="9" t="s">
        <v>517</v>
      </c>
      <c r="E6" s="9"/>
      <c r="G6" s="4" t="s">
        <v>508</v>
      </c>
      <c r="H6" t="s">
        <v>507</v>
      </c>
      <c r="J6" s="5" t="s">
        <v>55</v>
      </c>
      <c r="K6" s="6">
        <v>889526</v>
      </c>
    </row>
    <row r="7" spans="1:11" x14ac:dyDescent="0.25">
      <c r="A7" s="7" t="s">
        <v>516</v>
      </c>
      <c r="B7" s="7"/>
      <c r="D7" s="4" t="s">
        <v>508</v>
      </c>
      <c r="E7" t="s">
        <v>511</v>
      </c>
      <c r="G7" s="5" t="s">
        <v>175</v>
      </c>
      <c r="H7" s="6">
        <v>128229</v>
      </c>
      <c r="J7" s="5" t="s">
        <v>24</v>
      </c>
      <c r="K7" s="6">
        <v>1019633</v>
      </c>
    </row>
    <row r="8" spans="1:11" x14ac:dyDescent="0.25">
      <c r="A8" s="4" t="s">
        <v>508</v>
      </c>
      <c r="B8" t="s">
        <v>507</v>
      </c>
      <c r="D8" s="5" t="s">
        <v>175</v>
      </c>
      <c r="E8" s="6">
        <v>3</v>
      </c>
      <c r="G8" s="5" t="s">
        <v>63</v>
      </c>
      <c r="H8" s="6">
        <v>257109</v>
      </c>
      <c r="J8" s="5" t="s">
        <v>154</v>
      </c>
      <c r="K8" s="6">
        <v>604529</v>
      </c>
    </row>
    <row r="9" spans="1:11" x14ac:dyDescent="0.25">
      <c r="A9" s="5">
        <v>2003</v>
      </c>
      <c r="B9" s="6">
        <v>7999</v>
      </c>
      <c r="D9" s="5" t="s">
        <v>63</v>
      </c>
      <c r="E9" s="6">
        <v>4</v>
      </c>
      <c r="G9" s="5" t="s">
        <v>290</v>
      </c>
      <c r="H9" s="6">
        <v>243683</v>
      </c>
      <c r="J9" s="5" t="s">
        <v>29</v>
      </c>
      <c r="K9" s="6">
        <v>583224</v>
      </c>
    </row>
    <row r="10" spans="1:11" x14ac:dyDescent="0.25">
      <c r="A10" s="5">
        <v>2004</v>
      </c>
      <c r="B10" s="6">
        <v>19495</v>
      </c>
      <c r="D10" s="5" t="s">
        <v>290</v>
      </c>
      <c r="E10" s="6">
        <v>6</v>
      </c>
      <c r="G10" s="5" t="s">
        <v>50</v>
      </c>
      <c r="H10" s="6">
        <v>176294</v>
      </c>
      <c r="J10" s="5" t="s">
        <v>35</v>
      </c>
      <c r="K10" s="6">
        <v>801407</v>
      </c>
    </row>
    <row r="11" spans="1:11" x14ac:dyDescent="0.25">
      <c r="A11" s="5">
        <v>2005</v>
      </c>
      <c r="B11" s="6">
        <v>46390</v>
      </c>
      <c r="D11" s="5" t="s">
        <v>50</v>
      </c>
      <c r="E11" s="6">
        <v>5</v>
      </c>
      <c r="G11" s="5" t="s">
        <v>68</v>
      </c>
      <c r="H11" s="6">
        <v>194235</v>
      </c>
      <c r="J11" s="5" t="s">
        <v>509</v>
      </c>
      <c r="K11" s="6">
        <v>3898319</v>
      </c>
    </row>
    <row r="12" spans="1:11" x14ac:dyDescent="0.25">
      <c r="A12" s="5">
        <v>2007</v>
      </c>
      <c r="B12" s="6">
        <v>48998</v>
      </c>
      <c r="D12" s="5" t="s">
        <v>68</v>
      </c>
      <c r="E12" s="6">
        <v>7</v>
      </c>
      <c r="G12" s="5" t="s">
        <v>25</v>
      </c>
      <c r="H12" s="6">
        <v>1948489</v>
      </c>
    </row>
    <row r="13" spans="1:11" x14ac:dyDescent="0.25">
      <c r="A13" s="5">
        <v>2008</v>
      </c>
      <c r="B13" s="6">
        <v>8777</v>
      </c>
      <c r="D13" s="5" t="s">
        <v>25</v>
      </c>
      <c r="E13" s="6">
        <v>50</v>
      </c>
      <c r="G13" s="5" t="s">
        <v>41</v>
      </c>
      <c r="H13" s="6">
        <v>1574963</v>
      </c>
    </row>
    <row r="14" spans="1:11" x14ac:dyDescent="0.25">
      <c r="A14" s="5">
        <v>2010</v>
      </c>
      <c r="B14" s="6">
        <v>162249</v>
      </c>
      <c r="D14" s="5" t="s">
        <v>41</v>
      </c>
      <c r="E14" s="6">
        <v>59</v>
      </c>
      <c r="G14" s="5" t="s">
        <v>16</v>
      </c>
      <c r="H14" s="6">
        <v>4267074</v>
      </c>
    </row>
    <row r="15" spans="1:11" x14ac:dyDescent="0.25">
      <c r="A15" s="5">
        <v>2011</v>
      </c>
      <c r="B15" s="6">
        <v>174875</v>
      </c>
      <c r="D15" s="5" t="s">
        <v>16</v>
      </c>
      <c r="E15" s="6">
        <v>121</v>
      </c>
      <c r="G15" s="5" t="s">
        <v>509</v>
      </c>
      <c r="H15" s="6">
        <v>8790076</v>
      </c>
    </row>
    <row r="16" spans="1:11" x14ac:dyDescent="0.25">
      <c r="A16" s="5">
        <v>2012</v>
      </c>
      <c r="B16" s="6">
        <v>67078</v>
      </c>
      <c r="D16" s="5" t="s">
        <v>509</v>
      </c>
      <c r="E16" s="6">
        <v>255</v>
      </c>
    </row>
    <row r="17" spans="1:11" x14ac:dyDescent="0.25">
      <c r="A17" s="5">
        <v>2013</v>
      </c>
      <c r="B17" s="6">
        <v>206992</v>
      </c>
      <c r="J17" s="9" t="s">
        <v>521</v>
      </c>
      <c r="K17" s="9"/>
    </row>
    <row r="18" spans="1:11" x14ac:dyDescent="0.25">
      <c r="A18" s="5">
        <v>2014</v>
      </c>
      <c r="B18" s="6">
        <v>206350</v>
      </c>
      <c r="G18" s="9" t="s">
        <v>519</v>
      </c>
      <c r="H18" s="9"/>
      <c r="J18" s="4" t="s">
        <v>508</v>
      </c>
      <c r="K18" t="s">
        <v>511</v>
      </c>
    </row>
    <row r="19" spans="1:11" x14ac:dyDescent="0.25">
      <c r="A19" s="5">
        <v>2015</v>
      </c>
      <c r="B19" s="6">
        <v>370827</v>
      </c>
      <c r="D19" s="9" t="s">
        <v>512</v>
      </c>
      <c r="E19" s="9"/>
      <c r="G19" s="4" t="s">
        <v>508</v>
      </c>
      <c r="H19" t="s">
        <v>511</v>
      </c>
      <c r="J19" s="5" t="s">
        <v>160</v>
      </c>
      <c r="K19" s="6">
        <v>9</v>
      </c>
    </row>
    <row r="20" spans="1:11" x14ac:dyDescent="0.25">
      <c r="A20" s="5">
        <v>2016</v>
      </c>
      <c r="B20" s="6">
        <v>382853</v>
      </c>
      <c r="D20" s="4" t="s">
        <v>508</v>
      </c>
      <c r="E20" t="s">
        <v>511</v>
      </c>
      <c r="G20" s="5" t="s">
        <v>20</v>
      </c>
      <c r="H20" s="6">
        <v>65</v>
      </c>
      <c r="J20" s="5" t="s">
        <v>42</v>
      </c>
      <c r="K20" s="6">
        <v>1</v>
      </c>
    </row>
    <row r="21" spans="1:11" x14ac:dyDescent="0.25">
      <c r="A21" s="5">
        <v>2017</v>
      </c>
      <c r="B21" s="6">
        <v>537906</v>
      </c>
      <c r="D21" s="5" t="s">
        <v>18</v>
      </c>
      <c r="E21" s="6">
        <v>248</v>
      </c>
      <c r="G21" s="5" t="s">
        <v>44</v>
      </c>
      <c r="H21" s="6">
        <v>69</v>
      </c>
      <c r="J21" s="5" t="s">
        <v>17</v>
      </c>
      <c r="K21" s="6">
        <v>244</v>
      </c>
    </row>
    <row r="22" spans="1:11" x14ac:dyDescent="0.25">
      <c r="A22" s="5">
        <v>2018</v>
      </c>
      <c r="B22" s="6">
        <v>979620</v>
      </c>
      <c r="D22" s="5" t="s">
        <v>64</v>
      </c>
      <c r="E22" s="6">
        <v>7</v>
      </c>
      <c r="G22" s="5" t="s">
        <v>52</v>
      </c>
      <c r="H22" s="6">
        <v>86</v>
      </c>
      <c r="J22" s="5" t="s">
        <v>356</v>
      </c>
      <c r="K22" s="6">
        <v>1</v>
      </c>
    </row>
    <row r="23" spans="1:11" x14ac:dyDescent="0.25">
      <c r="A23" s="5">
        <v>2019</v>
      </c>
      <c r="B23" s="6">
        <v>2042095</v>
      </c>
      <c r="D23" s="5" t="s">
        <v>509</v>
      </c>
      <c r="E23" s="6">
        <v>255</v>
      </c>
      <c r="G23" s="5" t="s">
        <v>37</v>
      </c>
      <c r="H23" s="6">
        <v>35</v>
      </c>
      <c r="J23" s="5" t="s">
        <v>509</v>
      </c>
      <c r="K23" s="6">
        <v>255</v>
      </c>
    </row>
    <row r="24" spans="1:11" x14ac:dyDescent="0.25">
      <c r="A24" s="5">
        <v>2020</v>
      </c>
      <c r="B24" s="6">
        <v>1426444</v>
      </c>
      <c r="G24" s="5" t="s">
        <v>509</v>
      </c>
      <c r="H24" s="6">
        <v>255</v>
      </c>
    </row>
    <row r="25" spans="1:11" x14ac:dyDescent="0.25">
      <c r="A25" s="5">
        <v>2021</v>
      </c>
      <c r="B25" s="6">
        <v>1774688</v>
      </c>
    </row>
    <row r="26" spans="1:11" x14ac:dyDescent="0.25">
      <c r="A26" s="5">
        <v>2022</v>
      </c>
      <c r="B26" s="6">
        <v>326440</v>
      </c>
    </row>
    <row r="27" spans="1:11" x14ac:dyDescent="0.25">
      <c r="A27" s="5" t="s">
        <v>509</v>
      </c>
      <c r="B27" s="6">
        <v>8790076</v>
      </c>
    </row>
  </sheetData>
  <mergeCells count="6">
    <mergeCell ref="D6:E6"/>
    <mergeCell ref="D19:E19"/>
    <mergeCell ref="G5:H5"/>
    <mergeCell ref="G18:H18"/>
    <mergeCell ref="J4:K4"/>
    <mergeCell ref="J17:K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34B40-D46E-4AB6-8941-2450E80A887D}">
  <dimension ref="V14"/>
  <sheetViews>
    <sheetView showGridLines="0" topLeftCell="B1" zoomScale="80" zoomScaleNormal="80" workbookViewId="0">
      <selection activeCell="B2" sqref="B2"/>
    </sheetView>
  </sheetViews>
  <sheetFormatPr defaultRowHeight="15" x14ac:dyDescent="0.25"/>
  <cols>
    <col min="1" max="16384" width="9.140625" style="8"/>
  </cols>
  <sheetData>
    <row r="14" spans="22:22" x14ac:dyDescent="0.25">
      <c r="V14" s="8" t="s">
        <v>522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8517-0253-485E-A498-23DA724D0955}">
  <dimension ref="A1:N256"/>
  <sheetViews>
    <sheetView tabSelected="1" workbookViewId="0"/>
  </sheetViews>
  <sheetFormatPr defaultRowHeight="15" x14ac:dyDescent="0.25"/>
  <cols>
    <col min="1" max="1" width="33.5703125" bestFit="1" customWidth="1"/>
    <col min="2" max="2" width="19.7109375" bestFit="1" customWidth="1"/>
    <col min="3" max="3" width="12.5703125" style="3" bestFit="1" customWidth="1"/>
    <col min="4" max="4" width="11.140625" bestFit="1" customWidth="1"/>
    <col min="5" max="5" width="14.85546875" bestFit="1" customWidth="1"/>
    <col min="6" max="6" width="14.42578125" bestFit="1" customWidth="1"/>
    <col min="7" max="7" width="12.28515625" bestFit="1" customWidth="1"/>
    <col min="8" max="8" width="11.7109375" bestFit="1" customWidth="1"/>
    <col min="9" max="9" width="22.7109375" bestFit="1" customWidth="1"/>
    <col min="10" max="10" width="45.7109375" bestFit="1" customWidth="1"/>
    <col min="11" max="11" width="17.7109375" bestFit="1" customWidth="1"/>
    <col min="12" max="12" width="21.85546875" bestFit="1" customWidth="1"/>
    <col min="13" max="13" width="9.42578125" bestFit="1" customWidth="1"/>
    <col min="14" max="14" width="13" bestFit="1" customWidth="1"/>
  </cols>
  <sheetData>
    <row r="1" spans="1:14" x14ac:dyDescent="0.25">
      <c r="A1" t="s">
        <v>506</v>
      </c>
      <c r="B1" t="s">
        <v>0</v>
      </c>
      <c r="C1" s="3" t="s">
        <v>1</v>
      </c>
      <c r="D1" t="s">
        <v>2</v>
      </c>
      <c r="E1" t="s">
        <v>510</v>
      </c>
      <c r="F1" t="s">
        <v>3</v>
      </c>
      <c r="G1" t="s">
        <v>4</v>
      </c>
      <c r="H1" t="s">
        <v>5</v>
      </c>
      <c r="I1" t="s">
        <v>6</v>
      </c>
      <c r="J1" t="s">
        <v>7</v>
      </c>
      <c r="K1" t="s">
        <v>8</v>
      </c>
      <c r="L1" t="s">
        <v>9</v>
      </c>
      <c r="M1" t="s">
        <v>10</v>
      </c>
      <c r="N1" t="s">
        <v>11</v>
      </c>
    </row>
    <row r="2" spans="1:14" x14ac:dyDescent="0.25">
      <c r="A2" s="1" t="s">
        <v>12</v>
      </c>
      <c r="B2" s="1" t="s">
        <v>13</v>
      </c>
      <c r="C2" s="3">
        <v>21897</v>
      </c>
      <c r="D2" s="1" t="s">
        <v>14</v>
      </c>
      <c r="E2">
        <v>2016</v>
      </c>
      <c r="F2" s="1" t="s">
        <v>15</v>
      </c>
      <c r="G2" s="1" t="s">
        <v>16</v>
      </c>
      <c r="H2" s="1" t="s">
        <v>17</v>
      </c>
      <c r="I2" s="1" t="s">
        <v>18</v>
      </c>
      <c r="J2" s="1" t="s">
        <v>19</v>
      </c>
      <c r="K2">
        <v>94672</v>
      </c>
      <c r="L2" s="1" t="s">
        <v>20</v>
      </c>
      <c r="M2" s="1" t="s">
        <v>21</v>
      </c>
      <c r="N2" s="2">
        <v>44755</v>
      </c>
    </row>
    <row r="3" spans="1:14" x14ac:dyDescent="0.25">
      <c r="A3" s="1" t="s">
        <v>22</v>
      </c>
      <c r="B3" s="1" t="s">
        <v>23</v>
      </c>
      <c r="C3" s="3">
        <v>33000</v>
      </c>
      <c r="D3" s="1" t="s">
        <v>14</v>
      </c>
      <c r="E3">
        <v>2014</v>
      </c>
      <c r="F3" s="1" t="s">
        <v>24</v>
      </c>
      <c r="G3" s="1" t="s">
        <v>25</v>
      </c>
      <c r="H3" s="1" t="s">
        <v>17</v>
      </c>
      <c r="I3" s="1" t="s">
        <v>18</v>
      </c>
      <c r="J3" s="1" t="s">
        <v>26</v>
      </c>
      <c r="K3">
        <v>55475</v>
      </c>
      <c r="L3" s="1" t="s">
        <v>20</v>
      </c>
      <c r="M3" s="1" t="s">
        <v>21</v>
      </c>
      <c r="N3" s="2">
        <v>44755</v>
      </c>
    </row>
    <row r="4" spans="1:14" x14ac:dyDescent="0.25">
      <c r="A4" s="1" t="s">
        <v>27</v>
      </c>
      <c r="B4" s="1" t="s">
        <v>28</v>
      </c>
      <c r="C4" s="3">
        <v>39998</v>
      </c>
      <c r="D4" s="1" t="s">
        <v>14</v>
      </c>
      <c r="E4">
        <v>2019</v>
      </c>
      <c r="F4" s="1" t="s">
        <v>29</v>
      </c>
      <c r="G4" s="1" t="s">
        <v>25</v>
      </c>
      <c r="H4" s="1" t="s">
        <v>17</v>
      </c>
      <c r="I4" s="1" t="s">
        <v>18</v>
      </c>
      <c r="J4" s="1" t="s">
        <v>19</v>
      </c>
      <c r="K4">
        <v>22551</v>
      </c>
      <c r="L4" s="1" t="s">
        <v>20</v>
      </c>
      <c r="M4" s="1" t="s">
        <v>21</v>
      </c>
      <c r="N4" s="2">
        <v>44755</v>
      </c>
    </row>
    <row r="5" spans="1:14" x14ac:dyDescent="0.25">
      <c r="A5" s="1" t="s">
        <v>30</v>
      </c>
      <c r="B5" s="1" t="s">
        <v>31</v>
      </c>
      <c r="C5" s="3">
        <v>28455</v>
      </c>
      <c r="D5" s="1" t="s">
        <v>14</v>
      </c>
      <c r="E5">
        <v>2020</v>
      </c>
      <c r="F5" s="1" t="s">
        <v>15</v>
      </c>
      <c r="G5" s="1" t="s">
        <v>16</v>
      </c>
      <c r="H5" s="1" t="s">
        <v>17</v>
      </c>
      <c r="I5" s="1" t="s">
        <v>18</v>
      </c>
      <c r="J5" s="1" t="s">
        <v>32</v>
      </c>
      <c r="K5">
        <v>42961</v>
      </c>
      <c r="L5" s="1" t="s">
        <v>20</v>
      </c>
      <c r="M5" s="1" t="s">
        <v>21</v>
      </c>
      <c r="N5" s="2">
        <v>44755</v>
      </c>
    </row>
    <row r="6" spans="1:14" x14ac:dyDescent="0.25">
      <c r="A6" s="1" t="s">
        <v>33</v>
      </c>
      <c r="B6" s="1" t="s">
        <v>34</v>
      </c>
      <c r="C6" s="3">
        <v>31471</v>
      </c>
      <c r="D6" s="1" t="s">
        <v>14</v>
      </c>
      <c r="E6">
        <v>2015</v>
      </c>
      <c r="F6" s="1" t="s">
        <v>35</v>
      </c>
      <c r="G6" s="1" t="s">
        <v>16</v>
      </c>
      <c r="H6" s="1" t="s">
        <v>17</v>
      </c>
      <c r="I6" s="1" t="s">
        <v>18</v>
      </c>
      <c r="J6" s="1" t="s">
        <v>36</v>
      </c>
      <c r="K6">
        <v>106061</v>
      </c>
      <c r="L6" s="1" t="s">
        <v>37</v>
      </c>
      <c r="M6" s="1" t="s">
        <v>21</v>
      </c>
      <c r="N6" s="2">
        <v>44755</v>
      </c>
    </row>
    <row r="7" spans="1:14" x14ac:dyDescent="0.25">
      <c r="A7" s="1" t="s">
        <v>38</v>
      </c>
      <c r="B7" s="1" t="s">
        <v>39</v>
      </c>
      <c r="C7" s="3">
        <v>64928</v>
      </c>
      <c r="D7" s="1" t="s">
        <v>14</v>
      </c>
      <c r="E7">
        <v>2020</v>
      </c>
      <c r="F7" s="1" t="s">
        <v>40</v>
      </c>
      <c r="G7" s="1" t="s">
        <v>41</v>
      </c>
      <c r="H7" s="1" t="s">
        <v>42</v>
      </c>
      <c r="I7" s="1" t="s">
        <v>18</v>
      </c>
      <c r="J7" s="1" t="s">
        <v>43</v>
      </c>
      <c r="K7">
        <v>19391</v>
      </c>
      <c r="L7" s="1" t="s">
        <v>44</v>
      </c>
      <c r="M7" s="1" t="s">
        <v>21</v>
      </c>
      <c r="N7" s="2">
        <v>44755</v>
      </c>
    </row>
    <row r="8" spans="1:14" x14ac:dyDescent="0.25">
      <c r="A8" s="1" t="s">
        <v>45</v>
      </c>
      <c r="B8" s="1" t="s">
        <v>23</v>
      </c>
      <c r="C8" s="3">
        <v>37779</v>
      </c>
      <c r="D8" s="1" t="s">
        <v>14</v>
      </c>
      <c r="E8">
        <v>2017</v>
      </c>
      <c r="F8" s="1" t="s">
        <v>24</v>
      </c>
      <c r="G8" s="1" t="s">
        <v>25</v>
      </c>
      <c r="H8" s="1" t="s">
        <v>17</v>
      </c>
      <c r="I8" s="1" t="s">
        <v>18</v>
      </c>
      <c r="J8" s="1" t="s">
        <v>46</v>
      </c>
      <c r="K8">
        <v>52523</v>
      </c>
      <c r="L8" s="1" t="s">
        <v>37</v>
      </c>
      <c r="M8" s="1" t="s">
        <v>21</v>
      </c>
      <c r="N8" s="2">
        <v>44755</v>
      </c>
    </row>
    <row r="9" spans="1:14" x14ac:dyDescent="0.25">
      <c r="A9" s="1" t="s">
        <v>47</v>
      </c>
      <c r="B9" s="1" t="s">
        <v>48</v>
      </c>
      <c r="C9" s="3">
        <v>40956</v>
      </c>
      <c r="D9" s="1" t="s">
        <v>14</v>
      </c>
      <c r="E9">
        <v>2021</v>
      </c>
      <c r="F9" s="1" t="s">
        <v>49</v>
      </c>
      <c r="G9" s="1" t="s">
        <v>50</v>
      </c>
      <c r="H9" s="1" t="s">
        <v>17</v>
      </c>
      <c r="I9" s="1" t="s">
        <v>18</v>
      </c>
      <c r="J9" s="1" t="s">
        <v>51</v>
      </c>
      <c r="K9">
        <v>11142</v>
      </c>
      <c r="L9" s="1" t="s">
        <v>52</v>
      </c>
      <c r="M9" s="1" t="s">
        <v>21</v>
      </c>
      <c r="N9" s="2">
        <v>44755</v>
      </c>
    </row>
    <row r="10" spans="1:14" x14ac:dyDescent="0.25">
      <c r="A10" s="1" t="s">
        <v>53</v>
      </c>
      <c r="B10" s="1" t="s">
        <v>54</v>
      </c>
      <c r="C10" s="3">
        <v>9991</v>
      </c>
      <c r="D10" s="1" t="s">
        <v>14</v>
      </c>
      <c r="E10">
        <v>2012</v>
      </c>
      <c r="F10" s="1" t="s">
        <v>55</v>
      </c>
      <c r="G10" s="1" t="s">
        <v>16</v>
      </c>
      <c r="H10" s="1" t="s">
        <v>17</v>
      </c>
      <c r="I10" s="1" t="s">
        <v>18</v>
      </c>
      <c r="J10" s="1" t="s">
        <v>32</v>
      </c>
      <c r="K10">
        <v>140624</v>
      </c>
      <c r="L10" s="1" t="s">
        <v>52</v>
      </c>
      <c r="M10" s="1" t="s">
        <v>21</v>
      </c>
      <c r="N10" s="2">
        <v>44755</v>
      </c>
    </row>
    <row r="11" spans="1:14" x14ac:dyDescent="0.25">
      <c r="A11" s="1" t="s">
        <v>56</v>
      </c>
      <c r="B11" s="1" t="s">
        <v>34</v>
      </c>
      <c r="C11" s="3">
        <v>60559</v>
      </c>
      <c r="D11" s="1" t="s">
        <v>14</v>
      </c>
      <c r="E11">
        <v>2019</v>
      </c>
      <c r="F11" s="1" t="s">
        <v>35</v>
      </c>
      <c r="G11" s="1" t="s">
        <v>16</v>
      </c>
      <c r="H11" s="1" t="s">
        <v>17</v>
      </c>
      <c r="I11" s="1" t="s">
        <v>18</v>
      </c>
      <c r="J11" s="1" t="s">
        <v>36</v>
      </c>
      <c r="K11">
        <v>45996</v>
      </c>
      <c r="L11" s="1" t="s">
        <v>20</v>
      </c>
      <c r="M11" s="1" t="s">
        <v>21</v>
      </c>
      <c r="N11" s="2">
        <v>44755</v>
      </c>
    </row>
    <row r="12" spans="1:14" x14ac:dyDescent="0.25">
      <c r="A12" s="1" t="s">
        <v>57</v>
      </c>
      <c r="B12" s="1" t="s">
        <v>58</v>
      </c>
      <c r="C12" s="3">
        <v>46998</v>
      </c>
      <c r="D12" s="1" t="s">
        <v>14</v>
      </c>
      <c r="E12">
        <v>2020</v>
      </c>
      <c r="F12" s="1" t="s">
        <v>59</v>
      </c>
      <c r="G12" s="1" t="s">
        <v>16</v>
      </c>
      <c r="H12" s="1" t="s">
        <v>17</v>
      </c>
      <c r="I12" s="1" t="s">
        <v>18</v>
      </c>
      <c r="J12" s="1" t="s">
        <v>51</v>
      </c>
      <c r="K12">
        <v>18040</v>
      </c>
      <c r="L12" s="1" t="s">
        <v>44</v>
      </c>
      <c r="M12" s="1" t="s">
        <v>21</v>
      </c>
      <c r="N12" s="2">
        <v>44755</v>
      </c>
    </row>
    <row r="13" spans="1:14" x14ac:dyDescent="0.25">
      <c r="A13" s="1" t="s">
        <v>60</v>
      </c>
      <c r="B13" s="1" t="s">
        <v>61</v>
      </c>
      <c r="C13" s="3">
        <v>48998</v>
      </c>
      <c r="D13" s="1" t="s">
        <v>14</v>
      </c>
      <c r="E13">
        <v>2007</v>
      </c>
      <c r="F13" s="1" t="s">
        <v>62</v>
      </c>
      <c r="G13" s="1" t="s">
        <v>63</v>
      </c>
      <c r="H13" s="1" t="s">
        <v>17</v>
      </c>
      <c r="I13" s="1" t="s">
        <v>64</v>
      </c>
      <c r="J13" s="1" t="s">
        <v>65</v>
      </c>
      <c r="K13">
        <v>75347</v>
      </c>
      <c r="L13" s="1" t="s">
        <v>37</v>
      </c>
      <c r="M13" s="1" t="s">
        <v>21</v>
      </c>
      <c r="N13" s="2">
        <v>44755</v>
      </c>
    </row>
    <row r="14" spans="1:14" x14ac:dyDescent="0.25">
      <c r="A14" s="1" t="s">
        <v>66</v>
      </c>
      <c r="B14" s="1" t="s">
        <v>67</v>
      </c>
      <c r="C14" s="3">
        <v>39000</v>
      </c>
      <c r="D14" s="1" t="s">
        <v>14</v>
      </c>
      <c r="E14">
        <v>2019</v>
      </c>
      <c r="F14" s="1" t="s">
        <v>35</v>
      </c>
      <c r="G14" s="1" t="s">
        <v>68</v>
      </c>
      <c r="H14" s="1" t="s">
        <v>17</v>
      </c>
      <c r="I14" s="1" t="s">
        <v>18</v>
      </c>
      <c r="J14" s="1" t="s">
        <v>69</v>
      </c>
      <c r="K14">
        <v>44437</v>
      </c>
      <c r="L14" s="1" t="s">
        <v>52</v>
      </c>
      <c r="M14" s="1" t="s">
        <v>21</v>
      </c>
      <c r="N14" s="2">
        <v>44755</v>
      </c>
    </row>
    <row r="15" spans="1:14" x14ac:dyDescent="0.25">
      <c r="A15" s="1" t="s">
        <v>70</v>
      </c>
      <c r="B15" s="1" t="s">
        <v>71</v>
      </c>
      <c r="C15" s="3">
        <v>16995</v>
      </c>
      <c r="D15" s="1" t="s">
        <v>14</v>
      </c>
      <c r="E15">
        <v>2018</v>
      </c>
      <c r="F15" s="1" t="s">
        <v>72</v>
      </c>
      <c r="G15" s="1" t="s">
        <v>41</v>
      </c>
      <c r="H15" s="1" t="s">
        <v>17</v>
      </c>
      <c r="I15" s="1" t="s">
        <v>18</v>
      </c>
      <c r="J15" s="1" t="s">
        <v>73</v>
      </c>
      <c r="K15">
        <v>61372</v>
      </c>
      <c r="L15" s="1" t="s">
        <v>52</v>
      </c>
      <c r="M15" s="1" t="s">
        <v>21</v>
      </c>
      <c r="N15" s="2">
        <v>44755</v>
      </c>
    </row>
    <row r="16" spans="1:14" x14ac:dyDescent="0.25">
      <c r="A16" s="1" t="s">
        <v>74</v>
      </c>
      <c r="B16" s="1" t="s">
        <v>75</v>
      </c>
      <c r="C16" s="3">
        <v>43997</v>
      </c>
      <c r="D16" s="1" t="s">
        <v>14</v>
      </c>
      <c r="E16">
        <v>2021</v>
      </c>
      <c r="F16" s="1" t="s">
        <v>76</v>
      </c>
      <c r="G16" s="1" t="s">
        <v>16</v>
      </c>
      <c r="H16" s="1" t="s">
        <v>17</v>
      </c>
      <c r="I16" s="1" t="s">
        <v>18</v>
      </c>
      <c r="J16" s="1" t="s">
        <v>69</v>
      </c>
      <c r="K16">
        <v>43</v>
      </c>
      <c r="L16" s="1" t="s">
        <v>44</v>
      </c>
      <c r="M16" s="1" t="s">
        <v>21</v>
      </c>
      <c r="N16" s="2">
        <v>44755</v>
      </c>
    </row>
    <row r="17" spans="1:14" x14ac:dyDescent="0.25">
      <c r="A17" s="1" t="s">
        <v>77</v>
      </c>
      <c r="B17" s="1" t="s">
        <v>78</v>
      </c>
      <c r="C17" s="3">
        <v>30000</v>
      </c>
      <c r="D17" s="1" t="s">
        <v>14</v>
      </c>
      <c r="E17">
        <v>2015</v>
      </c>
      <c r="F17" s="1" t="s">
        <v>79</v>
      </c>
      <c r="G17" s="1" t="s">
        <v>41</v>
      </c>
      <c r="H17" s="1" t="s">
        <v>17</v>
      </c>
      <c r="I17" s="1" t="s">
        <v>18</v>
      </c>
      <c r="J17" s="1" t="s">
        <v>36</v>
      </c>
      <c r="K17">
        <v>64202</v>
      </c>
      <c r="L17" s="1" t="s">
        <v>37</v>
      </c>
      <c r="M17" s="1" t="s">
        <v>21</v>
      </c>
      <c r="N17" s="2">
        <v>44755</v>
      </c>
    </row>
    <row r="18" spans="1:14" x14ac:dyDescent="0.25">
      <c r="A18" s="1" t="s">
        <v>80</v>
      </c>
      <c r="B18" s="1" t="s">
        <v>81</v>
      </c>
      <c r="C18" s="3">
        <v>46990</v>
      </c>
      <c r="D18" s="1" t="s">
        <v>14</v>
      </c>
      <c r="E18">
        <v>2022</v>
      </c>
      <c r="F18" s="1" t="s">
        <v>82</v>
      </c>
      <c r="G18" s="1" t="s">
        <v>16</v>
      </c>
      <c r="H18" s="1" t="s">
        <v>17</v>
      </c>
      <c r="I18" s="1" t="s">
        <v>18</v>
      </c>
      <c r="J18" s="1" t="s">
        <v>51</v>
      </c>
      <c r="K18">
        <v>6369</v>
      </c>
      <c r="L18" s="1" t="s">
        <v>44</v>
      </c>
      <c r="M18" s="1" t="s">
        <v>21</v>
      </c>
      <c r="N18" s="2">
        <v>44755</v>
      </c>
    </row>
    <row r="19" spans="1:14" x14ac:dyDescent="0.25">
      <c r="A19" s="1" t="s">
        <v>83</v>
      </c>
      <c r="B19" s="1" t="s">
        <v>84</v>
      </c>
      <c r="C19" s="3">
        <v>69888</v>
      </c>
      <c r="D19" s="1" t="s">
        <v>14</v>
      </c>
      <c r="E19">
        <v>2019</v>
      </c>
      <c r="F19" s="1" t="s">
        <v>85</v>
      </c>
      <c r="G19" s="1" t="s">
        <v>41</v>
      </c>
      <c r="H19" s="1" t="s">
        <v>17</v>
      </c>
      <c r="I19" s="1" t="s">
        <v>18</v>
      </c>
      <c r="J19" s="1" t="s">
        <v>86</v>
      </c>
      <c r="K19">
        <v>33452</v>
      </c>
      <c r="L19" s="1" t="s">
        <v>44</v>
      </c>
      <c r="M19" s="1" t="s">
        <v>21</v>
      </c>
      <c r="N19" s="2">
        <v>44755</v>
      </c>
    </row>
    <row r="20" spans="1:14" x14ac:dyDescent="0.25">
      <c r="A20" s="1" t="s">
        <v>87</v>
      </c>
      <c r="B20" s="1" t="s">
        <v>88</v>
      </c>
      <c r="C20" s="3">
        <v>23892</v>
      </c>
      <c r="D20" s="1" t="s">
        <v>14</v>
      </c>
      <c r="E20">
        <v>2010</v>
      </c>
      <c r="F20" s="1" t="s">
        <v>35</v>
      </c>
      <c r="G20" s="1" t="s">
        <v>16</v>
      </c>
      <c r="H20" s="1" t="s">
        <v>17</v>
      </c>
      <c r="I20" s="1" t="s">
        <v>18</v>
      </c>
      <c r="J20" s="1" t="s">
        <v>89</v>
      </c>
      <c r="K20">
        <v>143548</v>
      </c>
      <c r="L20" s="1" t="s">
        <v>20</v>
      </c>
      <c r="M20" s="1" t="s">
        <v>21</v>
      </c>
      <c r="N20" s="2">
        <v>44755</v>
      </c>
    </row>
    <row r="21" spans="1:14" x14ac:dyDescent="0.25">
      <c r="A21" s="1" t="s">
        <v>90</v>
      </c>
      <c r="B21" s="1" t="s">
        <v>91</v>
      </c>
      <c r="C21" s="3">
        <v>16900</v>
      </c>
      <c r="D21" s="1" t="s">
        <v>14</v>
      </c>
      <c r="E21">
        <v>2014</v>
      </c>
      <c r="F21" s="1" t="s">
        <v>76</v>
      </c>
      <c r="G21" s="1" t="s">
        <v>16</v>
      </c>
      <c r="H21" s="1" t="s">
        <v>17</v>
      </c>
      <c r="I21" s="1" t="s">
        <v>18</v>
      </c>
      <c r="J21" s="1" t="s">
        <v>92</v>
      </c>
      <c r="K21">
        <v>117167</v>
      </c>
      <c r="L21" s="1" t="s">
        <v>52</v>
      </c>
      <c r="M21" s="1" t="s">
        <v>21</v>
      </c>
      <c r="N21" s="2">
        <v>44755</v>
      </c>
    </row>
    <row r="22" spans="1:14" x14ac:dyDescent="0.25">
      <c r="A22" s="1" t="s">
        <v>93</v>
      </c>
      <c r="B22" s="1" t="s">
        <v>94</v>
      </c>
      <c r="C22" s="3">
        <v>35322</v>
      </c>
      <c r="D22" s="1" t="s">
        <v>14</v>
      </c>
      <c r="E22">
        <v>2019</v>
      </c>
      <c r="F22" s="1" t="s">
        <v>95</v>
      </c>
      <c r="G22" s="1" t="s">
        <v>16</v>
      </c>
      <c r="H22" s="1" t="s">
        <v>17</v>
      </c>
      <c r="I22" s="1" t="s">
        <v>18</v>
      </c>
      <c r="J22" s="1" t="s">
        <v>69</v>
      </c>
      <c r="K22">
        <v>29888</v>
      </c>
      <c r="L22" s="1" t="s">
        <v>44</v>
      </c>
      <c r="M22" s="1" t="s">
        <v>21</v>
      </c>
      <c r="N22" s="2">
        <v>44755</v>
      </c>
    </row>
    <row r="23" spans="1:14" x14ac:dyDescent="0.25">
      <c r="A23" s="1" t="s">
        <v>96</v>
      </c>
      <c r="B23" s="1" t="s">
        <v>97</v>
      </c>
      <c r="C23" s="3">
        <v>26505</v>
      </c>
      <c r="D23" s="1" t="s">
        <v>14</v>
      </c>
      <c r="E23">
        <v>2015</v>
      </c>
      <c r="F23" s="1" t="s">
        <v>55</v>
      </c>
      <c r="G23" s="1" t="s">
        <v>25</v>
      </c>
      <c r="H23" s="1" t="s">
        <v>17</v>
      </c>
      <c r="I23" s="1" t="s">
        <v>18</v>
      </c>
      <c r="J23" s="1" t="s">
        <v>19</v>
      </c>
      <c r="K23">
        <v>80352</v>
      </c>
      <c r="L23" s="1" t="s">
        <v>20</v>
      </c>
      <c r="M23" s="1" t="s">
        <v>21</v>
      </c>
      <c r="N23" s="2">
        <v>44755</v>
      </c>
    </row>
    <row r="24" spans="1:14" x14ac:dyDescent="0.25">
      <c r="A24" s="1" t="s">
        <v>98</v>
      </c>
      <c r="B24" s="1" t="s">
        <v>28</v>
      </c>
      <c r="C24" s="3">
        <v>12400</v>
      </c>
      <c r="D24" s="1" t="s">
        <v>14</v>
      </c>
      <c r="E24">
        <v>2014</v>
      </c>
      <c r="F24" s="1" t="s">
        <v>29</v>
      </c>
      <c r="G24" s="1" t="s">
        <v>25</v>
      </c>
      <c r="H24" s="1" t="s">
        <v>17</v>
      </c>
      <c r="I24" s="1" t="s">
        <v>18</v>
      </c>
      <c r="J24" s="1" t="s">
        <v>36</v>
      </c>
      <c r="K24">
        <v>216950</v>
      </c>
      <c r="L24" s="1" t="s">
        <v>37</v>
      </c>
      <c r="M24" s="1" t="s">
        <v>21</v>
      </c>
      <c r="N24" s="2">
        <v>44755</v>
      </c>
    </row>
    <row r="25" spans="1:14" x14ac:dyDescent="0.25">
      <c r="A25" s="1" t="s">
        <v>99</v>
      </c>
      <c r="B25" s="1" t="s">
        <v>100</v>
      </c>
      <c r="C25" s="3">
        <v>16999</v>
      </c>
      <c r="D25" s="1" t="s">
        <v>14</v>
      </c>
      <c r="E25">
        <v>2016</v>
      </c>
      <c r="F25" s="1" t="s">
        <v>55</v>
      </c>
      <c r="G25" s="1" t="s">
        <v>16</v>
      </c>
      <c r="H25" s="1" t="s">
        <v>17</v>
      </c>
      <c r="I25" s="1" t="s">
        <v>18</v>
      </c>
      <c r="J25" s="1" t="s">
        <v>101</v>
      </c>
      <c r="K25">
        <v>32336</v>
      </c>
      <c r="L25" s="1" t="s">
        <v>52</v>
      </c>
      <c r="M25" s="1" t="s">
        <v>21</v>
      </c>
      <c r="N25" s="2">
        <v>44755</v>
      </c>
    </row>
    <row r="26" spans="1:14" x14ac:dyDescent="0.25">
      <c r="A26" s="1" t="s">
        <v>102</v>
      </c>
      <c r="B26" s="1" t="s">
        <v>103</v>
      </c>
      <c r="C26" s="3">
        <v>80250</v>
      </c>
      <c r="D26" s="1" t="s">
        <v>14</v>
      </c>
      <c r="E26">
        <v>2021</v>
      </c>
      <c r="F26" s="1" t="s">
        <v>55</v>
      </c>
      <c r="G26" s="1" t="s">
        <v>25</v>
      </c>
      <c r="H26" s="1" t="s">
        <v>17</v>
      </c>
      <c r="I26" s="1" t="s">
        <v>18</v>
      </c>
      <c r="J26" s="1" t="s">
        <v>104</v>
      </c>
      <c r="K26">
        <v>5771</v>
      </c>
      <c r="L26" s="1" t="s">
        <v>20</v>
      </c>
      <c r="M26" s="1" t="s">
        <v>21</v>
      </c>
      <c r="N26" s="2">
        <v>44755</v>
      </c>
    </row>
    <row r="27" spans="1:14" x14ac:dyDescent="0.25">
      <c r="A27" s="1" t="s">
        <v>105</v>
      </c>
      <c r="B27" s="1" t="s">
        <v>91</v>
      </c>
      <c r="C27" s="3">
        <v>22900</v>
      </c>
      <c r="D27" s="1" t="s">
        <v>14</v>
      </c>
      <c r="E27">
        <v>2017</v>
      </c>
      <c r="F27" s="1" t="s">
        <v>76</v>
      </c>
      <c r="G27" s="1" t="s">
        <v>16</v>
      </c>
      <c r="H27" s="1" t="s">
        <v>17</v>
      </c>
      <c r="I27" s="1" t="s">
        <v>18</v>
      </c>
      <c r="J27" s="1" t="s">
        <v>92</v>
      </c>
      <c r="K27">
        <v>56087</v>
      </c>
      <c r="L27" s="1" t="s">
        <v>52</v>
      </c>
      <c r="M27" s="1" t="s">
        <v>21</v>
      </c>
      <c r="N27" s="2">
        <v>44755</v>
      </c>
    </row>
    <row r="28" spans="1:14" x14ac:dyDescent="0.25">
      <c r="A28" s="1" t="s">
        <v>106</v>
      </c>
      <c r="B28" s="1" t="s">
        <v>107</v>
      </c>
      <c r="C28" s="3">
        <v>29990</v>
      </c>
      <c r="D28" s="1" t="s">
        <v>14</v>
      </c>
      <c r="E28">
        <v>2019</v>
      </c>
      <c r="F28" s="1" t="s">
        <v>35</v>
      </c>
      <c r="G28" s="1" t="s">
        <v>41</v>
      </c>
      <c r="H28" s="1" t="s">
        <v>17</v>
      </c>
      <c r="I28" s="1" t="s">
        <v>18</v>
      </c>
      <c r="J28" s="1" t="s">
        <v>92</v>
      </c>
      <c r="K28">
        <v>13088</v>
      </c>
      <c r="L28" s="1" t="s">
        <v>52</v>
      </c>
      <c r="M28" s="1" t="s">
        <v>21</v>
      </c>
      <c r="N28" s="2">
        <v>44755</v>
      </c>
    </row>
    <row r="29" spans="1:14" x14ac:dyDescent="0.25">
      <c r="A29" s="1" t="s">
        <v>108</v>
      </c>
      <c r="B29" s="1" t="s">
        <v>109</v>
      </c>
      <c r="C29" s="3">
        <v>42707</v>
      </c>
      <c r="D29" s="1" t="s">
        <v>14</v>
      </c>
      <c r="E29">
        <v>2022</v>
      </c>
      <c r="F29" s="1" t="s">
        <v>110</v>
      </c>
      <c r="G29" s="1" t="s">
        <v>16</v>
      </c>
      <c r="H29" s="1" t="s">
        <v>17</v>
      </c>
      <c r="I29" s="1" t="s">
        <v>18</v>
      </c>
      <c r="J29" s="1" t="s">
        <v>111</v>
      </c>
      <c r="K29">
        <v>8930</v>
      </c>
      <c r="L29" s="1" t="s">
        <v>44</v>
      </c>
      <c r="M29" s="1" t="s">
        <v>21</v>
      </c>
      <c r="N29" s="2">
        <v>44755</v>
      </c>
    </row>
    <row r="30" spans="1:14" x14ac:dyDescent="0.25">
      <c r="A30" s="1" t="s">
        <v>112</v>
      </c>
      <c r="B30" s="1" t="s">
        <v>113</v>
      </c>
      <c r="C30" s="3">
        <v>20499</v>
      </c>
      <c r="D30" s="1" t="s">
        <v>14</v>
      </c>
      <c r="E30">
        <v>2018</v>
      </c>
      <c r="F30" s="1" t="s">
        <v>15</v>
      </c>
      <c r="G30" s="1" t="s">
        <v>16</v>
      </c>
      <c r="H30" s="1" t="s">
        <v>17</v>
      </c>
      <c r="I30" s="1" t="s">
        <v>18</v>
      </c>
      <c r="J30" s="1" t="s">
        <v>114</v>
      </c>
      <c r="K30">
        <v>39501</v>
      </c>
      <c r="L30" s="1" t="s">
        <v>52</v>
      </c>
      <c r="M30" s="1" t="s">
        <v>21</v>
      </c>
      <c r="N30" s="2">
        <v>44755</v>
      </c>
    </row>
    <row r="31" spans="1:14" x14ac:dyDescent="0.25">
      <c r="A31" s="1" t="s">
        <v>115</v>
      </c>
      <c r="B31" s="1" t="s">
        <v>116</v>
      </c>
      <c r="C31" s="3">
        <v>22855</v>
      </c>
      <c r="D31" s="1" t="s">
        <v>14</v>
      </c>
      <c r="E31">
        <v>2016</v>
      </c>
      <c r="F31" s="1" t="s">
        <v>95</v>
      </c>
      <c r="G31" s="1" t="s">
        <v>41</v>
      </c>
      <c r="H31" s="1" t="s">
        <v>17</v>
      </c>
      <c r="I31" s="1" t="s">
        <v>18</v>
      </c>
      <c r="J31" s="1" t="s">
        <v>69</v>
      </c>
      <c r="K31">
        <v>98749</v>
      </c>
      <c r="L31" s="1" t="s">
        <v>52</v>
      </c>
      <c r="M31" s="1" t="s">
        <v>21</v>
      </c>
      <c r="N31" s="2">
        <v>44755</v>
      </c>
    </row>
    <row r="32" spans="1:14" x14ac:dyDescent="0.25">
      <c r="A32" s="1" t="s">
        <v>117</v>
      </c>
      <c r="B32" s="1" t="s">
        <v>118</v>
      </c>
      <c r="C32" s="3">
        <v>51499</v>
      </c>
      <c r="D32" s="1" t="s">
        <v>14</v>
      </c>
      <c r="E32">
        <v>2020</v>
      </c>
      <c r="F32" s="1" t="s">
        <v>119</v>
      </c>
      <c r="G32" s="1" t="s">
        <v>16</v>
      </c>
      <c r="H32" s="1" t="s">
        <v>17</v>
      </c>
      <c r="I32" s="1" t="s">
        <v>18</v>
      </c>
      <c r="J32" s="1" t="s">
        <v>19</v>
      </c>
      <c r="K32">
        <v>25494</v>
      </c>
      <c r="L32" s="1" t="s">
        <v>44</v>
      </c>
      <c r="M32" s="1" t="s">
        <v>21</v>
      </c>
      <c r="N32" s="2">
        <v>44755</v>
      </c>
    </row>
    <row r="33" spans="1:14" x14ac:dyDescent="0.25">
      <c r="A33" s="1" t="s">
        <v>120</v>
      </c>
      <c r="B33" s="1" t="s">
        <v>121</v>
      </c>
      <c r="C33" s="3">
        <v>14000</v>
      </c>
      <c r="D33" s="1" t="s">
        <v>14</v>
      </c>
      <c r="E33">
        <v>2016</v>
      </c>
      <c r="F33" s="1" t="s">
        <v>49</v>
      </c>
      <c r="G33" s="1" t="s">
        <v>41</v>
      </c>
      <c r="H33" s="1" t="s">
        <v>17</v>
      </c>
      <c r="I33" s="1" t="s">
        <v>18</v>
      </c>
      <c r="J33" s="1" t="s">
        <v>51</v>
      </c>
      <c r="K33">
        <v>106000</v>
      </c>
      <c r="L33" s="1" t="s">
        <v>52</v>
      </c>
      <c r="M33" s="1" t="s">
        <v>21</v>
      </c>
      <c r="N33" s="2">
        <v>44755</v>
      </c>
    </row>
    <row r="34" spans="1:14" x14ac:dyDescent="0.25">
      <c r="A34" s="1" t="s">
        <v>122</v>
      </c>
      <c r="B34" s="1" t="s">
        <v>123</v>
      </c>
      <c r="C34" s="3">
        <v>55796</v>
      </c>
      <c r="D34" s="1" t="s">
        <v>14</v>
      </c>
      <c r="E34">
        <v>2021</v>
      </c>
      <c r="F34" s="1" t="s">
        <v>15</v>
      </c>
      <c r="G34" s="1" t="s">
        <v>25</v>
      </c>
      <c r="H34" s="1" t="s">
        <v>17</v>
      </c>
      <c r="I34" s="1" t="s">
        <v>18</v>
      </c>
      <c r="J34" s="1" t="s">
        <v>19</v>
      </c>
      <c r="K34">
        <v>10488</v>
      </c>
      <c r="L34" s="1" t="s">
        <v>20</v>
      </c>
      <c r="M34" s="1" t="s">
        <v>21</v>
      </c>
      <c r="N34" s="2">
        <v>44755</v>
      </c>
    </row>
    <row r="35" spans="1:14" x14ac:dyDescent="0.25">
      <c r="A35" s="1" t="s">
        <v>124</v>
      </c>
      <c r="B35" s="1" t="s">
        <v>125</v>
      </c>
      <c r="C35" s="3">
        <v>44590</v>
      </c>
      <c r="D35" s="1" t="s">
        <v>14</v>
      </c>
      <c r="E35">
        <v>2020</v>
      </c>
      <c r="F35" s="1" t="s">
        <v>59</v>
      </c>
      <c r="G35" s="1" t="s">
        <v>16</v>
      </c>
      <c r="H35" s="1" t="s">
        <v>17</v>
      </c>
      <c r="I35" s="1" t="s">
        <v>18</v>
      </c>
      <c r="J35" s="1" t="s">
        <v>126</v>
      </c>
      <c r="K35">
        <v>35789</v>
      </c>
      <c r="L35" s="1" t="s">
        <v>20</v>
      </c>
      <c r="M35" s="1" t="s">
        <v>21</v>
      </c>
      <c r="N35" s="2">
        <v>44755</v>
      </c>
    </row>
    <row r="36" spans="1:14" x14ac:dyDescent="0.25">
      <c r="A36" s="1" t="s">
        <v>106</v>
      </c>
      <c r="B36" s="1" t="s">
        <v>107</v>
      </c>
      <c r="C36" s="3">
        <v>26564</v>
      </c>
      <c r="D36" s="1" t="s">
        <v>14</v>
      </c>
      <c r="E36">
        <v>2019</v>
      </c>
      <c r="F36" s="1" t="s">
        <v>35</v>
      </c>
      <c r="G36" s="1" t="s">
        <v>41</v>
      </c>
      <c r="H36" s="1" t="s">
        <v>17</v>
      </c>
      <c r="I36" s="1" t="s">
        <v>18</v>
      </c>
      <c r="J36" s="1" t="s">
        <v>92</v>
      </c>
      <c r="K36">
        <v>79901</v>
      </c>
      <c r="L36" s="1" t="s">
        <v>52</v>
      </c>
      <c r="M36" s="1" t="s">
        <v>21</v>
      </c>
      <c r="N36" s="2">
        <v>44755</v>
      </c>
    </row>
    <row r="37" spans="1:14" x14ac:dyDescent="0.25">
      <c r="A37" s="1" t="s">
        <v>127</v>
      </c>
      <c r="B37" s="1" t="s">
        <v>128</v>
      </c>
      <c r="C37" s="3">
        <v>38697</v>
      </c>
      <c r="D37" s="1" t="s">
        <v>14</v>
      </c>
      <c r="E37">
        <v>2020</v>
      </c>
      <c r="F37" s="1" t="s">
        <v>15</v>
      </c>
      <c r="G37" s="1" t="s">
        <v>16</v>
      </c>
      <c r="H37" s="1" t="s">
        <v>17</v>
      </c>
      <c r="I37" s="1" t="s">
        <v>18</v>
      </c>
      <c r="J37" s="1" t="s">
        <v>129</v>
      </c>
      <c r="K37">
        <v>46958</v>
      </c>
      <c r="L37" s="1" t="s">
        <v>20</v>
      </c>
      <c r="M37" s="1" t="s">
        <v>21</v>
      </c>
      <c r="N37" s="2">
        <v>44755</v>
      </c>
    </row>
    <row r="38" spans="1:14" x14ac:dyDescent="0.25">
      <c r="A38" s="1" t="s">
        <v>130</v>
      </c>
      <c r="B38" s="1" t="s">
        <v>131</v>
      </c>
      <c r="C38" s="3">
        <v>29590</v>
      </c>
      <c r="D38" s="1" t="s">
        <v>14</v>
      </c>
      <c r="E38">
        <v>2018</v>
      </c>
      <c r="F38" s="1" t="s">
        <v>95</v>
      </c>
      <c r="G38" s="1" t="s">
        <v>16</v>
      </c>
      <c r="H38" s="1" t="s">
        <v>17</v>
      </c>
      <c r="I38" s="1" t="s">
        <v>18</v>
      </c>
      <c r="J38" s="1" t="s">
        <v>132</v>
      </c>
      <c r="K38">
        <v>29327</v>
      </c>
      <c r="L38" s="1" t="s">
        <v>44</v>
      </c>
      <c r="M38" s="1" t="s">
        <v>21</v>
      </c>
      <c r="N38" s="2">
        <v>44755</v>
      </c>
    </row>
    <row r="39" spans="1:14" x14ac:dyDescent="0.25">
      <c r="A39" s="1" t="s">
        <v>133</v>
      </c>
      <c r="B39" s="1" t="s">
        <v>134</v>
      </c>
      <c r="C39" s="3">
        <v>27425</v>
      </c>
      <c r="D39" s="1" t="s">
        <v>14</v>
      </c>
      <c r="E39">
        <v>2020</v>
      </c>
      <c r="F39" s="1" t="s">
        <v>24</v>
      </c>
      <c r="G39" s="1" t="s">
        <v>16</v>
      </c>
      <c r="H39" s="1" t="s">
        <v>17</v>
      </c>
      <c r="I39" s="1" t="s">
        <v>18</v>
      </c>
      <c r="J39" s="1" t="s">
        <v>51</v>
      </c>
      <c r="K39">
        <v>46575</v>
      </c>
      <c r="L39" s="1" t="s">
        <v>52</v>
      </c>
      <c r="M39" s="1" t="s">
        <v>21</v>
      </c>
      <c r="N39" s="2">
        <v>44755</v>
      </c>
    </row>
    <row r="40" spans="1:14" x14ac:dyDescent="0.25">
      <c r="A40" s="1" t="s">
        <v>135</v>
      </c>
      <c r="B40" s="1" t="s">
        <v>136</v>
      </c>
      <c r="C40" s="3">
        <v>22400</v>
      </c>
      <c r="D40" s="1" t="s">
        <v>14</v>
      </c>
      <c r="E40">
        <v>2013</v>
      </c>
      <c r="F40" s="1" t="s">
        <v>55</v>
      </c>
      <c r="G40" s="1" t="s">
        <v>16</v>
      </c>
      <c r="H40" s="1" t="s">
        <v>17</v>
      </c>
      <c r="I40" s="1" t="s">
        <v>18</v>
      </c>
      <c r="J40" s="1" t="s">
        <v>137</v>
      </c>
      <c r="K40">
        <v>158288</v>
      </c>
      <c r="L40" s="1" t="s">
        <v>20</v>
      </c>
      <c r="M40" s="1" t="s">
        <v>21</v>
      </c>
      <c r="N40" s="2">
        <v>44755</v>
      </c>
    </row>
    <row r="41" spans="1:14" x14ac:dyDescent="0.25">
      <c r="A41" s="1" t="s">
        <v>138</v>
      </c>
      <c r="B41" s="1" t="s">
        <v>131</v>
      </c>
      <c r="C41" s="3">
        <v>20900</v>
      </c>
      <c r="D41" s="1" t="s">
        <v>14</v>
      </c>
      <c r="E41">
        <v>2016</v>
      </c>
      <c r="F41" s="1" t="s">
        <v>95</v>
      </c>
      <c r="G41" s="1" t="s">
        <v>16</v>
      </c>
      <c r="H41" s="1" t="s">
        <v>17</v>
      </c>
      <c r="I41" s="1" t="s">
        <v>18</v>
      </c>
      <c r="J41" s="1" t="s">
        <v>32</v>
      </c>
      <c r="K41">
        <v>97908</v>
      </c>
      <c r="L41" s="1" t="s">
        <v>44</v>
      </c>
      <c r="M41" s="1" t="s">
        <v>21</v>
      </c>
      <c r="N41" s="2">
        <v>44755</v>
      </c>
    </row>
    <row r="42" spans="1:14" x14ac:dyDescent="0.25">
      <c r="A42" s="1" t="s">
        <v>139</v>
      </c>
      <c r="B42" s="1" t="s">
        <v>140</v>
      </c>
      <c r="C42" s="3">
        <v>133991</v>
      </c>
      <c r="D42" s="1" t="s">
        <v>14</v>
      </c>
      <c r="E42">
        <v>2020</v>
      </c>
      <c r="F42" s="1" t="s">
        <v>141</v>
      </c>
      <c r="G42" s="1" t="s">
        <v>16</v>
      </c>
      <c r="H42" s="1" t="s">
        <v>17</v>
      </c>
      <c r="I42" s="1" t="s">
        <v>18</v>
      </c>
      <c r="J42" s="1" t="s">
        <v>142</v>
      </c>
      <c r="K42">
        <v>22218</v>
      </c>
      <c r="L42" s="1" t="s">
        <v>44</v>
      </c>
      <c r="M42" s="1" t="s">
        <v>21</v>
      </c>
      <c r="N42" s="2">
        <v>44755</v>
      </c>
    </row>
    <row r="43" spans="1:14" x14ac:dyDescent="0.25">
      <c r="A43" s="1" t="s">
        <v>143</v>
      </c>
      <c r="B43" s="1" t="s">
        <v>144</v>
      </c>
      <c r="C43" s="3">
        <v>42492</v>
      </c>
      <c r="D43" s="1" t="s">
        <v>14</v>
      </c>
      <c r="E43">
        <v>2020</v>
      </c>
      <c r="F43" s="1" t="s">
        <v>95</v>
      </c>
      <c r="G43" s="1" t="s">
        <v>16</v>
      </c>
      <c r="H43" s="1" t="s">
        <v>17</v>
      </c>
      <c r="I43" s="1" t="s">
        <v>18</v>
      </c>
      <c r="J43" s="1" t="s">
        <v>69</v>
      </c>
      <c r="K43">
        <v>18200</v>
      </c>
      <c r="L43" s="1" t="s">
        <v>44</v>
      </c>
      <c r="M43" s="1" t="s">
        <v>21</v>
      </c>
      <c r="N43" s="2">
        <v>44755</v>
      </c>
    </row>
    <row r="44" spans="1:14" x14ac:dyDescent="0.25">
      <c r="A44" s="1" t="s">
        <v>145</v>
      </c>
      <c r="B44" s="1" t="s">
        <v>146</v>
      </c>
      <c r="C44" s="3">
        <v>7999</v>
      </c>
      <c r="D44" s="1" t="s">
        <v>14</v>
      </c>
      <c r="E44">
        <v>2003</v>
      </c>
      <c r="F44" s="1" t="s">
        <v>147</v>
      </c>
      <c r="G44" s="1" t="s">
        <v>41</v>
      </c>
      <c r="H44" s="1" t="s">
        <v>17</v>
      </c>
      <c r="I44" s="1" t="s">
        <v>18</v>
      </c>
      <c r="J44" s="1" t="s">
        <v>148</v>
      </c>
      <c r="K44">
        <v>211508</v>
      </c>
      <c r="L44" s="1" t="s">
        <v>37</v>
      </c>
      <c r="M44" s="1" t="s">
        <v>21</v>
      </c>
      <c r="N44" s="2">
        <v>44755</v>
      </c>
    </row>
    <row r="45" spans="1:14" x14ac:dyDescent="0.25">
      <c r="A45" s="1" t="s">
        <v>149</v>
      </c>
      <c r="B45" s="1" t="s">
        <v>28</v>
      </c>
      <c r="C45" s="3">
        <v>30992</v>
      </c>
      <c r="D45" s="1" t="s">
        <v>14</v>
      </c>
      <c r="E45">
        <v>2018</v>
      </c>
      <c r="F45" s="1" t="s">
        <v>29</v>
      </c>
      <c r="G45" s="1" t="s">
        <v>25</v>
      </c>
      <c r="H45" s="1" t="s">
        <v>17</v>
      </c>
      <c r="I45" s="1" t="s">
        <v>18</v>
      </c>
      <c r="J45" s="1" t="s">
        <v>36</v>
      </c>
      <c r="K45">
        <v>60470</v>
      </c>
      <c r="L45" s="1" t="s">
        <v>20</v>
      </c>
      <c r="M45" s="1" t="s">
        <v>21</v>
      </c>
      <c r="N45" s="2">
        <v>44755</v>
      </c>
    </row>
    <row r="46" spans="1:14" x14ac:dyDescent="0.25">
      <c r="A46" s="1" t="s">
        <v>150</v>
      </c>
      <c r="B46" s="1" t="s">
        <v>151</v>
      </c>
      <c r="C46" s="3">
        <v>32993</v>
      </c>
      <c r="D46" s="1" t="s">
        <v>14</v>
      </c>
      <c r="E46">
        <v>2021</v>
      </c>
      <c r="F46" s="1" t="s">
        <v>49</v>
      </c>
      <c r="G46" s="1" t="s">
        <v>50</v>
      </c>
      <c r="H46" s="1" t="s">
        <v>17</v>
      </c>
      <c r="I46" s="1" t="s">
        <v>64</v>
      </c>
      <c r="J46" s="1" t="s">
        <v>51</v>
      </c>
      <c r="K46">
        <v>18720</v>
      </c>
      <c r="L46" s="1" t="s">
        <v>52</v>
      </c>
      <c r="M46" s="1" t="s">
        <v>21</v>
      </c>
      <c r="N46" s="2">
        <v>44755</v>
      </c>
    </row>
    <row r="47" spans="1:14" x14ac:dyDescent="0.25">
      <c r="A47" s="1" t="s">
        <v>152</v>
      </c>
      <c r="B47" s="1" t="s">
        <v>153</v>
      </c>
      <c r="C47" s="3">
        <v>45998</v>
      </c>
      <c r="D47" s="1" t="s">
        <v>14</v>
      </c>
      <c r="E47">
        <v>2018</v>
      </c>
      <c r="F47" s="1" t="s">
        <v>154</v>
      </c>
      <c r="G47" s="1" t="s">
        <v>16</v>
      </c>
      <c r="H47" s="1" t="s">
        <v>17</v>
      </c>
      <c r="I47" s="1" t="s">
        <v>18</v>
      </c>
      <c r="J47" s="1" t="s">
        <v>155</v>
      </c>
      <c r="K47">
        <v>48456</v>
      </c>
      <c r="L47" s="1" t="s">
        <v>44</v>
      </c>
      <c r="M47" s="1" t="s">
        <v>21</v>
      </c>
      <c r="N47" s="2">
        <v>44755</v>
      </c>
    </row>
    <row r="48" spans="1:14" x14ac:dyDescent="0.25">
      <c r="A48" s="1" t="s">
        <v>156</v>
      </c>
      <c r="B48" s="1" t="s">
        <v>157</v>
      </c>
      <c r="C48" s="3">
        <v>30792</v>
      </c>
      <c r="D48" s="1" t="s">
        <v>14</v>
      </c>
      <c r="E48">
        <v>2021</v>
      </c>
      <c r="F48" s="1" t="s">
        <v>76</v>
      </c>
      <c r="G48" s="1" t="s">
        <v>41</v>
      </c>
      <c r="H48" s="1" t="s">
        <v>17</v>
      </c>
      <c r="I48" s="1" t="s">
        <v>18</v>
      </c>
      <c r="J48" s="1" t="s">
        <v>51</v>
      </c>
      <c r="K48">
        <v>5</v>
      </c>
      <c r="L48" s="1" t="s">
        <v>52</v>
      </c>
      <c r="M48" s="1" t="s">
        <v>21</v>
      </c>
      <c r="N48" s="2">
        <v>44755</v>
      </c>
    </row>
    <row r="49" spans="1:14" x14ac:dyDescent="0.25">
      <c r="A49" s="1" t="s">
        <v>158</v>
      </c>
      <c r="B49" s="1" t="s">
        <v>159</v>
      </c>
      <c r="C49" s="3">
        <v>59975</v>
      </c>
      <c r="D49" s="1" t="s">
        <v>14</v>
      </c>
      <c r="E49">
        <v>2019</v>
      </c>
      <c r="F49" s="1" t="s">
        <v>24</v>
      </c>
      <c r="G49" s="1" t="s">
        <v>25</v>
      </c>
      <c r="H49" s="1" t="s">
        <v>160</v>
      </c>
      <c r="I49" s="1" t="s">
        <v>18</v>
      </c>
      <c r="J49" s="1" t="s">
        <v>161</v>
      </c>
      <c r="K49">
        <v>92352</v>
      </c>
      <c r="L49" s="1" t="s">
        <v>20</v>
      </c>
      <c r="M49" s="1" t="s">
        <v>21</v>
      </c>
      <c r="N49" s="2">
        <v>44755</v>
      </c>
    </row>
    <row r="50" spans="1:14" x14ac:dyDescent="0.25">
      <c r="A50" s="1" t="s">
        <v>162</v>
      </c>
      <c r="B50" s="1" t="s">
        <v>163</v>
      </c>
      <c r="C50" s="3">
        <v>24280</v>
      </c>
      <c r="D50" s="1" t="s">
        <v>14</v>
      </c>
      <c r="E50">
        <v>2018</v>
      </c>
      <c r="F50" s="1" t="s">
        <v>35</v>
      </c>
      <c r="G50" s="1" t="s">
        <v>16</v>
      </c>
      <c r="H50" s="1" t="s">
        <v>17</v>
      </c>
      <c r="I50" s="1" t="s">
        <v>18</v>
      </c>
      <c r="J50" s="1" t="s">
        <v>92</v>
      </c>
      <c r="K50">
        <v>67641</v>
      </c>
      <c r="L50" s="1" t="s">
        <v>52</v>
      </c>
      <c r="M50" s="1" t="s">
        <v>21</v>
      </c>
      <c r="N50" s="2">
        <v>44755</v>
      </c>
    </row>
    <row r="51" spans="1:14" x14ac:dyDescent="0.25">
      <c r="A51" s="1" t="s">
        <v>164</v>
      </c>
      <c r="B51" s="1" t="s">
        <v>165</v>
      </c>
      <c r="C51" s="3">
        <v>49997</v>
      </c>
      <c r="D51" s="1" t="s">
        <v>14</v>
      </c>
      <c r="E51">
        <v>2013</v>
      </c>
      <c r="F51" s="1" t="s">
        <v>55</v>
      </c>
      <c r="G51" s="1" t="s">
        <v>25</v>
      </c>
      <c r="H51" s="1" t="s">
        <v>160</v>
      </c>
      <c r="I51" s="1" t="s">
        <v>18</v>
      </c>
      <c r="J51" s="1" t="s">
        <v>166</v>
      </c>
      <c r="K51">
        <v>83133</v>
      </c>
      <c r="L51" s="1" t="s">
        <v>20</v>
      </c>
      <c r="M51" s="1" t="s">
        <v>21</v>
      </c>
      <c r="N51" s="2">
        <v>44755</v>
      </c>
    </row>
    <row r="52" spans="1:14" x14ac:dyDescent="0.25">
      <c r="A52" s="1" t="s">
        <v>167</v>
      </c>
      <c r="B52" s="1" t="s">
        <v>168</v>
      </c>
      <c r="C52" s="3">
        <v>28995</v>
      </c>
      <c r="D52" s="1" t="s">
        <v>14</v>
      </c>
      <c r="E52">
        <v>2019</v>
      </c>
      <c r="F52" s="1" t="s">
        <v>24</v>
      </c>
      <c r="G52" s="1" t="s">
        <v>16</v>
      </c>
      <c r="H52" s="1" t="s">
        <v>17</v>
      </c>
      <c r="I52" s="1" t="s">
        <v>18</v>
      </c>
      <c r="J52" s="1" t="s">
        <v>169</v>
      </c>
      <c r="K52">
        <v>81681</v>
      </c>
      <c r="L52" s="1" t="s">
        <v>52</v>
      </c>
      <c r="M52" s="1" t="s">
        <v>21</v>
      </c>
      <c r="N52" s="2">
        <v>44755</v>
      </c>
    </row>
    <row r="53" spans="1:14" x14ac:dyDescent="0.25">
      <c r="A53" s="1" t="s">
        <v>170</v>
      </c>
      <c r="B53" s="1" t="s">
        <v>171</v>
      </c>
      <c r="C53" s="3">
        <v>20997</v>
      </c>
      <c r="D53" s="1" t="s">
        <v>14</v>
      </c>
      <c r="E53">
        <v>2018</v>
      </c>
      <c r="F53" s="1" t="s">
        <v>76</v>
      </c>
      <c r="G53" s="1" t="s">
        <v>16</v>
      </c>
      <c r="H53" s="1" t="s">
        <v>17</v>
      </c>
      <c r="I53" s="1" t="s">
        <v>18</v>
      </c>
      <c r="J53" s="1" t="s">
        <v>73</v>
      </c>
      <c r="K53">
        <v>54181</v>
      </c>
      <c r="L53" s="1" t="s">
        <v>52</v>
      </c>
      <c r="M53" s="1" t="s">
        <v>21</v>
      </c>
      <c r="N53" s="2">
        <v>44755</v>
      </c>
    </row>
    <row r="54" spans="1:14" x14ac:dyDescent="0.25">
      <c r="A54" s="1" t="s">
        <v>172</v>
      </c>
      <c r="B54" s="1" t="s">
        <v>173</v>
      </c>
      <c r="C54" s="3">
        <v>37863</v>
      </c>
      <c r="D54" s="1" t="s">
        <v>14</v>
      </c>
      <c r="E54">
        <v>2020</v>
      </c>
      <c r="F54" s="1" t="s">
        <v>174</v>
      </c>
      <c r="G54" s="1" t="s">
        <v>175</v>
      </c>
      <c r="H54" s="1" t="s">
        <v>17</v>
      </c>
      <c r="I54" s="1" t="s">
        <v>18</v>
      </c>
      <c r="J54" s="1" t="s">
        <v>176</v>
      </c>
      <c r="K54">
        <v>68813</v>
      </c>
      <c r="L54" s="1" t="s">
        <v>37</v>
      </c>
      <c r="M54" s="1" t="s">
        <v>21</v>
      </c>
      <c r="N54" s="2">
        <v>44755</v>
      </c>
    </row>
    <row r="55" spans="1:14" x14ac:dyDescent="0.25">
      <c r="A55" s="1" t="s">
        <v>177</v>
      </c>
      <c r="B55" s="1" t="s">
        <v>178</v>
      </c>
      <c r="C55" s="3">
        <v>45750</v>
      </c>
      <c r="D55" s="1" t="s">
        <v>14</v>
      </c>
      <c r="E55">
        <v>2021</v>
      </c>
      <c r="F55" s="1" t="s">
        <v>179</v>
      </c>
      <c r="G55" s="1" t="s">
        <v>16</v>
      </c>
      <c r="H55" s="1" t="s">
        <v>17</v>
      </c>
      <c r="I55" s="1" t="s">
        <v>18</v>
      </c>
      <c r="J55" s="1" t="s">
        <v>51</v>
      </c>
      <c r="K55">
        <v>6163</v>
      </c>
      <c r="L55" s="1" t="s">
        <v>44</v>
      </c>
      <c r="M55" s="1" t="s">
        <v>21</v>
      </c>
      <c r="N55" s="2">
        <v>44755</v>
      </c>
    </row>
    <row r="56" spans="1:14" x14ac:dyDescent="0.25">
      <c r="A56" s="1" t="s">
        <v>180</v>
      </c>
      <c r="B56" s="1" t="s">
        <v>181</v>
      </c>
      <c r="C56" s="3">
        <v>20995</v>
      </c>
      <c r="D56" s="1" t="s">
        <v>14</v>
      </c>
      <c r="E56">
        <v>2015</v>
      </c>
      <c r="F56" s="1" t="s">
        <v>85</v>
      </c>
      <c r="G56" s="1" t="s">
        <v>16</v>
      </c>
      <c r="H56" s="1" t="s">
        <v>17</v>
      </c>
      <c r="I56" s="1" t="s">
        <v>18</v>
      </c>
      <c r="J56" s="1" t="s">
        <v>182</v>
      </c>
      <c r="K56">
        <v>93000</v>
      </c>
      <c r="L56" s="1" t="s">
        <v>44</v>
      </c>
      <c r="M56" s="1" t="s">
        <v>21</v>
      </c>
      <c r="N56" s="2">
        <v>44755</v>
      </c>
    </row>
    <row r="57" spans="1:14" x14ac:dyDescent="0.25">
      <c r="A57" s="1" t="s">
        <v>183</v>
      </c>
      <c r="B57" s="1" t="s">
        <v>184</v>
      </c>
      <c r="C57" s="3">
        <v>10900</v>
      </c>
      <c r="D57" s="1" t="s">
        <v>14</v>
      </c>
      <c r="E57">
        <v>2005</v>
      </c>
      <c r="F57" s="1" t="s">
        <v>95</v>
      </c>
      <c r="G57" s="1" t="s">
        <v>16</v>
      </c>
      <c r="H57" s="1" t="s">
        <v>17</v>
      </c>
      <c r="I57" s="1" t="s">
        <v>18</v>
      </c>
      <c r="J57" s="1" t="s">
        <v>32</v>
      </c>
      <c r="K57">
        <v>145055</v>
      </c>
      <c r="L57" s="1" t="s">
        <v>20</v>
      </c>
      <c r="M57" s="1" t="s">
        <v>21</v>
      </c>
      <c r="N57" s="2">
        <v>44755</v>
      </c>
    </row>
    <row r="58" spans="1:14" x14ac:dyDescent="0.25">
      <c r="A58" s="1" t="s">
        <v>185</v>
      </c>
      <c r="B58" s="1" t="s">
        <v>186</v>
      </c>
      <c r="C58" s="3">
        <v>19450</v>
      </c>
      <c r="D58" s="1" t="s">
        <v>14</v>
      </c>
      <c r="E58">
        <v>2017</v>
      </c>
      <c r="F58" s="1" t="s">
        <v>187</v>
      </c>
      <c r="G58" s="1" t="s">
        <v>16</v>
      </c>
      <c r="H58" s="1" t="s">
        <v>17</v>
      </c>
      <c r="I58" s="1" t="s">
        <v>18</v>
      </c>
      <c r="J58" s="1" t="s">
        <v>51</v>
      </c>
      <c r="K58">
        <v>103131</v>
      </c>
      <c r="L58" s="1" t="s">
        <v>44</v>
      </c>
      <c r="M58" s="1" t="s">
        <v>21</v>
      </c>
      <c r="N58" s="2">
        <v>44755</v>
      </c>
    </row>
    <row r="59" spans="1:14" x14ac:dyDescent="0.25">
      <c r="A59" s="1" t="s">
        <v>188</v>
      </c>
      <c r="B59" s="1" t="s">
        <v>168</v>
      </c>
      <c r="C59" s="3">
        <v>38676</v>
      </c>
      <c r="D59" s="1" t="s">
        <v>14</v>
      </c>
      <c r="E59">
        <v>2020</v>
      </c>
      <c r="F59" s="1" t="s">
        <v>24</v>
      </c>
      <c r="G59" s="1" t="s">
        <v>16</v>
      </c>
      <c r="H59" s="1" t="s">
        <v>17</v>
      </c>
      <c r="I59" s="1" t="s">
        <v>18</v>
      </c>
      <c r="J59" s="1" t="s">
        <v>189</v>
      </c>
      <c r="K59">
        <v>19327</v>
      </c>
      <c r="L59" s="1" t="s">
        <v>20</v>
      </c>
      <c r="M59" s="1" t="s">
        <v>21</v>
      </c>
      <c r="N59" s="2">
        <v>44755</v>
      </c>
    </row>
    <row r="60" spans="1:14" x14ac:dyDescent="0.25">
      <c r="A60" s="1" t="s">
        <v>190</v>
      </c>
      <c r="B60" s="1" t="s">
        <v>191</v>
      </c>
      <c r="C60" s="3">
        <v>111880</v>
      </c>
      <c r="D60" s="1" t="s">
        <v>14</v>
      </c>
      <c r="E60">
        <v>2010</v>
      </c>
      <c r="F60" s="1" t="s">
        <v>192</v>
      </c>
      <c r="G60" s="1" t="s">
        <v>63</v>
      </c>
      <c r="H60" s="1" t="s">
        <v>17</v>
      </c>
      <c r="I60" s="1" t="s">
        <v>64</v>
      </c>
      <c r="J60" s="1" t="s">
        <v>193</v>
      </c>
      <c r="K60">
        <v>17761</v>
      </c>
      <c r="L60" s="1" t="s">
        <v>37</v>
      </c>
      <c r="M60" s="1" t="s">
        <v>21</v>
      </c>
      <c r="N60" s="2">
        <v>44755</v>
      </c>
    </row>
    <row r="61" spans="1:14" x14ac:dyDescent="0.25">
      <c r="A61" s="1" t="s">
        <v>194</v>
      </c>
      <c r="B61" s="1" t="s">
        <v>163</v>
      </c>
      <c r="C61" s="3">
        <v>17995</v>
      </c>
      <c r="D61" s="1" t="s">
        <v>14</v>
      </c>
      <c r="E61">
        <v>2013</v>
      </c>
      <c r="F61" s="1" t="s">
        <v>35</v>
      </c>
      <c r="G61" s="1" t="s">
        <v>16</v>
      </c>
      <c r="H61" s="1" t="s">
        <v>17</v>
      </c>
      <c r="I61" s="1" t="s">
        <v>18</v>
      </c>
      <c r="J61" s="1" t="s">
        <v>92</v>
      </c>
      <c r="K61">
        <v>98258</v>
      </c>
      <c r="L61" s="1" t="s">
        <v>52</v>
      </c>
      <c r="M61" s="1" t="s">
        <v>21</v>
      </c>
      <c r="N61" s="2">
        <v>44755</v>
      </c>
    </row>
    <row r="62" spans="1:14" x14ac:dyDescent="0.25">
      <c r="A62" s="1" t="s">
        <v>195</v>
      </c>
      <c r="B62" s="1" t="s">
        <v>91</v>
      </c>
      <c r="C62" s="3">
        <v>32458</v>
      </c>
      <c r="D62" s="1" t="s">
        <v>14</v>
      </c>
      <c r="E62">
        <v>2021</v>
      </c>
      <c r="F62" s="1" t="s">
        <v>76</v>
      </c>
      <c r="G62" s="1" t="s">
        <v>16</v>
      </c>
      <c r="H62" s="1" t="s">
        <v>17</v>
      </c>
      <c r="I62" s="1" t="s">
        <v>18</v>
      </c>
      <c r="J62" s="1" t="s">
        <v>92</v>
      </c>
      <c r="K62">
        <v>11717</v>
      </c>
      <c r="L62" s="1" t="s">
        <v>52</v>
      </c>
      <c r="M62" s="1" t="s">
        <v>21</v>
      </c>
      <c r="N62" s="2">
        <v>44755</v>
      </c>
    </row>
    <row r="63" spans="1:14" x14ac:dyDescent="0.25">
      <c r="A63" s="1" t="s">
        <v>196</v>
      </c>
      <c r="B63" s="1" t="s">
        <v>197</v>
      </c>
      <c r="C63" s="3">
        <v>19995</v>
      </c>
      <c r="D63" s="1" t="s">
        <v>14</v>
      </c>
      <c r="E63">
        <v>2015</v>
      </c>
      <c r="F63" s="1" t="s">
        <v>85</v>
      </c>
      <c r="G63" s="1" t="s">
        <v>41</v>
      </c>
      <c r="H63" s="1" t="s">
        <v>17</v>
      </c>
      <c r="I63" s="1" t="s">
        <v>18</v>
      </c>
      <c r="J63" s="1" t="s">
        <v>182</v>
      </c>
      <c r="K63">
        <v>70744</v>
      </c>
      <c r="L63" s="1" t="s">
        <v>44</v>
      </c>
      <c r="M63" s="1" t="s">
        <v>21</v>
      </c>
      <c r="N63" s="2">
        <v>44755</v>
      </c>
    </row>
    <row r="64" spans="1:14" x14ac:dyDescent="0.25">
      <c r="A64" s="1" t="s">
        <v>198</v>
      </c>
      <c r="B64" s="1" t="s">
        <v>107</v>
      </c>
      <c r="C64" s="3">
        <v>28991</v>
      </c>
      <c r="D64" s="1" t="s">
        <v>14</v>
      </c>
      <c r="E64">
        <v>2021</v>
      </c>
      <c r="F64" s="1" t="s">
        <v>35</v>
      </c>
      <c r="G64" s="1" t="s">
        <v>41</v>
      </c>
      <c r="H64" s="1" t="s">
        <v>17</v>
      </c>
      <c r="I64" s="1" t="s">
        <v>18</v>
      </c>
      <c r="J64" s="1" t="s">
        <v>92</v>
      </c>
      <c r="K64">
        <v>20939</v>
      </c>
      <c r="L64" s="1" t="s">
        <v>52</v>
      </c>
      <c r="M64" s="1" t="s">
        <v>21</v>
      </c>
      <c r="N64" s="2">
        <v>44755</v>
      </c>
    </row>
    <row r="65" spans="1:14" x14ac:dyDescent="0.25">
      <c r="A65" s="1" t="s">
        <v>199</v>
      </c>
      <c r="B65" s="1" t="s">
        <v>200</v>
      </c>
      <c r="C65" s="3">
        <v>43491</v>
      </c>
      <c r="D65" s="1" t="s">
        <v>14</v>
      </c>
      <c r="E65">
        <v>2020</v>
      </c>
      <c r="F65" s="1" t="s">
        <v>82</v>
      </c>
      <c r="G65" s="1" t="s">
        <v>16</v>
      </c>
      <c r="H65" s="1" t="s">
        <v>17</v>
      </c>
      <c r="I65" s="1" t="s">
        <v>18</v>
      </c>
      <c r="J65" s="1" t="s">
        <v>201</v>
      </c>
      <c r="K65">
        <v>10491</v>
      </c>
      <c r="L65" s="1" t="s">
        <v>44</v>
      </c>
      <c r="M65" s="1" t="s">
        <v>21</v>
      </c>
      <c r="N65" s="2">
        <v>44755</v>
      </c>
    </row>
    <row r="66" spans="1:14" x14ac:dyDescent="0.25">
      <c r="A66" s="1" t="s">
        <v>202</v>
      </c>
      <c r="B66" s="1" t="s">
        <v>203</v>
      </c>
      <c r="C66" s="3">
        <v>25203</v>
      </c>
      <c r="D66" s="1" t="s">
        <v>14</v>
      </c>
      <c r="E66">
        <v>2014</v>
      </c>
      <c r="F66" s="1" t="s">
        <v>204</v>
      </c>
      <c r="G66" s="1" t="s">
        <v>41</v>
      </c>
      <c r="H66" s="1" t="s">
        <v>17</v>
      </c>
      <c r="I66" s="1" t="s">
        <v>18</v>
      </c>
      <c r="J66" s="1" t="s">
        <v>69</v>
      </c>
      <c r="K66">
        <v>58544</v>
      </c>
      <c r="L66" s="1" t="s">
        <v>52</v>
      </c>
      <c r="M66" s="1" t="s">
        <v>21</v>
      </c>
      <c r="N66" s="2">
        <v>44755</v>
      </c>
    </row>
    <row r="67" spans="1:14" x14ac:dyDescent="0.25">
      <c r="A67" s="1" t="s">
        <v>205</v>
      </c>
      <c r="B67" s="1" t="s">
        <v>128</v>
      </c>
      <c r="C67" s="3">
        <v>49981</v>
      </c>
      <c r="D67" s="1" t="s">
        <v>14</v>
      </c>
      <c r="E67">
        <v>2019</v>
      </c>
      <c r="F67" s="1" t="s">
        <v>15</v>
      </c>
      <c r="G67" s="1" t="s">
        <v>16</v>
      </c>
      <c r="H67" s="1" t="s">
        <v>17</v>
      </c>
      <c r="I67" s="1" t="s">
        <v>64</v>
      </c>
      <c r="J67" s="1" t="s">
        <v>19</v>
      </c>
      <c r="K67">
        <v>28357</v>
      </c>
      <c r="L67" s="1" t="s">
        <v>20</v>
      </c>
      <c r="M67" s="1" t="s">
        <v>21</v>
      </c>
      <c r="N67" s="2">
        <v>44755</v>
      </c>
    </row>
    <row r="68" spans="1:14" x14ac:dyDescent="0.25">
      <c r="A68" s="1" t="s">
        <v>206</v>
      </c>
      <c r="B68" s="1" t="s">
        <v>207</v>
      </c>
      <c r="C68" s="3">
        <v>31995</v>
      </c>
      <c r="D68" s="1" t="s">
        <v>14</v>
      </c>
      <c r="E68">
        <v>2021</v>
      </c>
      <c r="F68" s="1" t="s">
        <v>49</v>
      </c>
      <c r="G68" s="1" t="s">
        <v>16</v>
      </c>
      <c r="H68" s="1" t="s">
        <v>17</v>
      </c>
      <c r="I68" s="1" t="s">
        <v>18</v>
      </c>
      <c r="J68" s="1" t="s">
        <v>51</v>
      </c>
      <c r="K68">
        <v>7877</v>
      </c>
      <c r="L68" s="1" t="s">
        <v>52</v>
      </c>
      <c r="M68" s="1" t="s">
        <v>21</v>
      </c>
      <c r="N68" s="2">
        <v>44755</v>
      </c>
    </row>
    <row r="69" spans="1:14" x14ac:dyDescent="0.25">
      <c r="A69" s="1" t="s">
        <v>208</v>
      </c>
      <c r="B69" s="1" t="s">
        <v>209</v>
      </c>
      <c r="C69" s="3">
        <v>15788</v>
      </c>
      <c r="D69" s="1" t="s">
        <v>14</v>
      </c>
      <c r="E69">
        <v>2018</v>
      </c>
      <c r="F69" s="1" t="s">
        <v>210</v>
      </c>
      <c r="G69" s="1" t="s">
        <v>16</v>
      </c>
      <c r="H69" s="1" t="s">
        <v>17</v>
      </c>
      <c r="I69" s="1" t="s">
        <v>18</v>
      </c>
      <c r="J69" s="1" t="s">
        <v>101</v>
      </c>
      <c r="K69">
        <v>112864</v>
      </c>
      <c r="L69" s="1" t="s">
        <v>52</v>
      </c>
      <c r="M69" s="1" t="s">
        <v>21</v>
      </c>
      <c r="N69" s="2">
        <v>44755</v>
      </c>
    </row>
    <row r="70" spans="1:14" x14ac:dyDescent="0.25">
      <c r="A70" s="1" t="s">
        <v>211</v>
      </c>
      <c r="B70" s="1" t="s">
        <v>212</v>
      </c>
      <c r="C70" s="3">
        <v>20995</v>
      </c>
      <c r="D70" s="1" t="s">
        <v>14</v>
      </c>
      <c r="E70">
        <v>2019</v>
      </c>
      <c r="F70" s="1" t="s">
        <v>79</v>
      </c>
      <c r="G70" s="1" t="s">
        <v>68</v>
      </c>
      <c r="H70" s="1" t="s">
        <v>17</v>
      </c>
      <c r="I70" s="1" t="s">
        <v>18</v>
      </c>
      <c r="J70" s="1" t="s">
        <v>19</v>
      </c>
      <c r="K70">
        <v>49727</v>
      </c>
      <c r="L70" s="1" t="s">
        <v>52</v>
      </c>
      <c r="M70" s="1" t="s">
        <v>21</v>
      </c>
      <c r="N70" s="2">
        <v>44755</v>
      </c>
    </row>
    <row r="71" spans="1:14" x14ac:dyDescent="0.25">
      <c r="A71" s="1" t="s">
        <v>213</v>
      </c>
      <c r="B71" s="1" t="s">
        <v>23</v>
      </c>
      <c r="C71" s="3">
        <v>38900</v>
      </c>
      <c r="D71" s="1" t="s">
        <v>14</v>
      </c>
      <c r="E71">
        <v>2018</v>
      </c>
      <c r="F71" s="1" t="s">
        <v>24</v>
      </c>
      <c r="G71" s="1" t="s">
        <v>25</v>
      </c>
      <c r="H71" s="1" t="s">
        <v>17</v>
      </c>
      <c r="I71" s="1" t="s">
        <v>18</v>
      </c>
      <c r="J71" s="1" t="s">
        <v>46</v>
      </c>
      <c r="K71">
        <v>92863</v>
      </c>
      <c r="L71" s="1" t="s">
        <v>20</v>
      </c>
      <c r="M71" s="1" t="s">
        <v>21</v>
      </c>
      <c r="N71" s="2">
        <v>44755</v>
      </c>
    </row>
    <row r="72" spans="1:14" x14ac:dyDescent="0.25">
      <c r="A72" s="1" t="s">
        <v>214</v>
      </c>
      <c r="B72" s="1" t="s">
        <v>28</v>
      </c>
      <c r="C72" s="3">
        <v>56845</v>
      </c>
      <c r="D72" s="1" t="s">
        <v>14</v>
      </c>
      <c r="E72">
        <v>2021</v>
      </c>
      <c r="F72" s="1" t="s">
        <v>29</v>
      </c>
      <c r="G72" s="1" t="s">
        <v>25</v>
      </c>
      <c r="H72" s="1" t="s">
        <v>17</v>
      </c>
      <c r="I72" s="1" t="s">
        <v>18</v>
      </c>
      <c r="J72" s="1" t="s">
        <v>36</v>
      </c>
      <c r="K72">
        <v>19310</v>
      </c>
      <c r="L72" s="1" t="s">
        <v>20</v>
      </c>
      <c r="M72" s="1" t="s">
        <v>21</v>
      </c>
      <c r="N72" s="2">
        <v>44755</v>
      </c>
    </row>
    <row r="73" spans="1:14" x14ac:dyDescent="0.25">
      <c r="A73" s="1" t="s">
        <v>215</v>
      </c>
      <c r="B73" s="1" t="s">
        <v>216</v>
      </c>
      <c r="C73" s="3">
        <v>32998</v>
      </c>
      <c r="D73" s="1" t="s">
        <v>14</v>
      </c>
      <c r="E73">
        <v>2015</v>
      </c>
      <c r="F73" s="1" t="s">
        <v>59</v>
      </c>
      <c r="G73" s="1" t="s">
        <v>16</v>
      </c>
      <c r="H73" s="1" t="s">
        <v>17</v>
      </c>
      <c r="I73" s="1" t="s">
        <v>18</v>
      </c>
      <c r="J73" s="1" t="s">
        <v>126</v>
      </c>
      <c r="K73">
        <v>102671</v>
      </c>
      <c r="L73" s="1" t="s">
        <v>20</v>
      </c>
      <c r="M73" s="1" t="s">
        <v>21</v>
      </c>
      <c r="N73" s="2">
        <v>44755</v>
      </c>
    </row>
    <row r="74" spans="1:14" x14ac:dyDescent="0.25">
      <c r="A74" s="1" t="s">
        <v>217</v>
      </c>
      <c r="B74" s="1" t="s">
        <v>218</v>
      </c>
      <c r="C74" s="3">
        <v>28885</v>
      </c>
      <c r="D74" s="1" t="s">
        <v>14</v>
      </c>
      <c r="E74">
        <v>2017</v>
      </c>
      <c r="F74" s="1" t="s">
        <v>174</v>
      </c>
      <c r="G74" s="1" t="s">
        <v>16</v>
      </c>
      <c r="H74" s="1" t="s">
        <v>17</v>
      </c>
      <c r="I74" s="1" t="s">
        <v>18</v>
      </c>
      <c r="J74" s="1" t="s">
        <v>19</v>
      </c>
      <c r="K74">
        <v>93585</v>
      </c>
      <c r="L74" s="1" t="s">
        <v>52</v>
      </c>
      <c r="M74" s="1" t="s">
        <v>21</v>
      </c>
      <c r="N74" s="2">
        <v>44755</v>
      </c>
    </row>
    <row r="75" spans="1:14" x14ac:dyDescent="0.25">
      <c r="A75" s="1" t="s">
        <v>219</v>
      </c>
      <c r="B75" s="1" t="s">
        <v>220</v>
      </c>
      <c r="C75" s="3">
        <v>29984</v>
      </c>
      <c r="D75" s="1" t="s">
        <v>14</v>
      </c>
      <c r="E75">
        <v>2019</v>
      </c>
      <c r="F75" s="1" t="s">
        <v>221</v>
      </c>
      <c r="G75" s="1" t="s">
        <v>41</v>
      </c>
      <c r="H75" s="1" t="s">
        <v>17</v>
      </c>
      <c r="I75" s="1" t="s">
        <v>18</v>
      </c>
      <c r="J75" s="1" t="s">
        <v>155</v>
      </c>
      <c r="K75">
        <v>26803</v>
      </c>
      <c r="L75" s="1" t="s">
        <v>37</v>
      </c>
      <c r="M75" s="1" t="s">
        <v>21</v>
      </c>
      <c r="N75" s="2">
        <v>44755</v>
      </c>
    </row>
    <row r="76" spans="1:14" x14ac:dyDescent="0.25">
      <c r="A76" s="1" t="s">
        <v>222</v>
      </c>
      <c r="B76" s="1" t="s">
        <v>171</v>
      </c>
      <c r="C76" s="3">
        <v>25774</v>
      </c>
      <c r="D76" s="1" t="s">
        <v>14</v>
      </c>
      <c r="E76">
        <v>2019</v>
      </c>
      <c r="F76" s="1" t="s">
        <v>76</v>
      </c>
      <c r="G76" s="1" t="s">
        <v>16</v>
      </c>
      <c r="H76" s="1" t="s">
        <v>17</v>
      </c>
      <c r="I76" s="1" t="s">
        <v>18</v>
      </c>
      <c r="J76" s="1" t="s">
        <v>73</v>
      </c>
      <c r="K76">
        <v>7118</v>
      </c>
      <c r="L76" s="1" t="s">
        <v>44</v>
      </c>
      <c r="M76" s="1" t="s">
        <v>21</v>
      </c>
      <c r="N76" s="2">
        <v>44755</v>
      </c>
    </row>
    <row r="77" spans="1:14" x14ac:dyDescent="0.25">
      <c r="A77" s="1" t="s">
        <v>223</v>
      </c>
      <c r="B77" s="1" t="s">
        <v>197</v>
      </c>
      <c r="C77" s="3">
        <v>15487</v>
      </c>
      <c r="D77" s="1" t="s">
        <v>14</v>
      </c>
      <c r="E77">
        <v>2010</v>
      </c>
      <c r="F77" s="1" t="s">
        <v>85</v>
      </c>
      <c r="G77" s="1" t="s">
        <v>41</v>
      </c>
      <c r="H77" s="1" t="s">
        <v>160</v>
      </c>
      <c r="I77" s="1" t="s">
        <v>18</v>
      </c>
      <c r="J77" s="1" t="s">
        <v>224</v>
      </c>
      <c r="K77">
        <v>126314</v>
      </c>
      <c r="L77" s="1" t="s">
        <v>37</v>
      </c>
      <c r="M77" s="1" t="s">
        <v>21</v>
      </c>
      <c r="N77" s="2">
        <v>44755</v>
      </c>
    </row>
    <row r="78" spans="1:14" x14ac:dyDescent="0.25">
      <c r="A78" s="1" t="s">
        <v>225</v>
      </c>
      <c r="B78" s="1" t="s">
        <v>226</v>
      </c>
      <c r="C78" s="3">
        <v>34397</v>
      </c>
      <c r="D78" s="1" t="s">
        <v>14</v>
      </c>
      <c r="E78">
        <v>2021</v>
      </c>
      <c r="F78" s="1" t="s">
        <v>187</v>
      </c>
      <c r="G78" s="1" t="s">
        <v>50</v>
      </c>
      <c r="H78" s="1" t="s">
        <v>17</v>
      </c>
      <c r="I78" s="1" t="s">
        <v>18</v>
      </c>
      <c r="J78" s="1" t="s">
        <v>51</v>
      </c>
      <c r="K78">
        <v>44180</v>
      </c>
      <c r="L78" s="1" t="s">
        <v>37</v>
      </c>
      <c r="M78" s="1" t="s">
        <v>21</v>
      </c>
      <c r="N78" s="2">
        <v>44755</v>
      </c>
    </row>
    <row r="79" spans="1:14" x14ac:dyDescent="0.25">
      <c r="A79" s="1" t="s">
        <v>227</v>
      </c>
      <c r="B79" s="1" t="s">
        <v>71</v>
      </c>
      <c r="C79" s="3">
        <v>15590</v>
      </c>
      <c r="D79" s="1" t="s">
        <v>14</v>
      </c>
      <c r="E79">
        <v>2017</v>
      </c>
      <c r="F79" s="1" t="s">
        <v>72</v>
      </c>
      <c r="G79" s="1" t="s">
        <v>41</v>
      </c>
      <c r="H79" s="1" t="s">
        <v>17</v>
      </c>
      <c r="I79" s="1" t="s">
        <v>18</v>
      </c>
      <c r="J79" s="1" t="s">
        <v>73</v>
      </c>
      <c r="K79">
        <v>102837</v>
      </c>
      <c r="L79" s="1" t="s">
        <v>52</v>
      </c>
      <c r="M79" s="1" t="s">
        <v>21</v>
      </c>
      <c r="N79" s="2">
        <v>44755</v>
      </c>
    </row>
    <row r="80" spans="1:14" x14ac:dyDescent="0.25">
      <c r="A80" s="1" t="s">
        <v>228</v>
      </c>
      <c r="B80" s="1" t="s">
        <v>229</v>
      </c>
      <c r="C80" s="3">
        <v>17989</v>
      </c>
      <c r="D80" s="1" t="s">
        <v>14</v>
      </c>
      <c r="E80">
        <v>2012</v>
      </c>
      <c r="F80" s="1" t="s">
        <v>76</v>
      </c>
      <c r="G80" s="1" t="s">
        <v>25</v>
      </c>
      <c r="H80" s="1" t="s">
        <v>17</v>
      </c>
      <c r="I80" s="1" t="s">
        <v>18</v>
      </c>
      <c r="J80" s="1" t="s">
        <v>230</v>
      </c>
      <c r="K80">
        <v>156085</v>
      </c>
      <c r="L80" s="1" t="s">
        <v>20</v>
      </c>
      <c r="M80" s="1" t="s">
        <v>21</v>
      </c>
      <c r="N80" s="2">
        <v>44755</v>
      </c>
    </row>
    <row r="81" spans="1:14" x14ac:dyDescent="0.25">
      <c r="A81" s="1" t="s">
        <v>231</v>
      </c>
      <c r="B81" s="1" t="s">
        <v>232</v>
      </c>
      <c r="C81" s="3">
        <v>34590</v>
      </c>
      <c r="D81" s="1" t="s">
        <v>14</v>
      </c>
      <c r="E81">
        <v>2017</v>
      </c>
      <c r="F81" s="1" t="s">
        <v>233</v>
      </c>
      <c r="G81" s="1" t="s">
        <v>68</v>
      </c>
      <c r="H81" s="1" t="s">
        <v>17</v>
      </c>
      <c r="I81" s="1" t="s">
        <v>18</v>
      </c>
      <c r="J81" s="1" t="s">
        <v>19</v>
      </c>
      <c r="K81">
        <v>25078</v>
      </c>
      <c r="L81" s="1" t="s">
        <v>52</v>
      </c>
      <c r="M81" s="1" t="s">
        <v>21</v>
      </c>
      <c r="N81" s="2">
        <v>44755</v>
      </c>
    </row>
    <row r="82" spans="1:14" x14ac:dyDescent="0.25">
      <c r="A82" s="1" t="s">
        <v>234</v>
      </c>
      <c r="B82" s="1" t="s">
        <v>235</v>
      </c>
      <c r="C82" s="3">
        <v>65995</v>
      </c>
      <c r="D82" s="1" t="s">
        <v>14</v>
      </c>
      <c r="E82">
        <v>2022</v>
      </c>
      <c r="F82" s="1" t="s">
        <v>35</v>
      </c>
      <c r="G82" s="1" t="s">
        <v>16</v>
      </c>
      <c r="H82" s="1" t="s">
        <v>17</v>
      </c>
      <c r="I82" s="1" t="s">
        <v>18</v>
      </c>
      <c r="J82" s="1" t="s">
        <v>89</v>
      </c>
      <c r="K82">
        <v>4864</v>
      </c>
      <c r="L82" s="1" t="s">
        <v>20</v>
      </c>
      <c r="M82" s="1" t="s">
        <v>21</v>
      </c>
      <c r="N82" s="2">
        <v>44755</v>
      </c>
    </row>
    <row r="83" spans="1:14" x14ac:dyDescent="0.25">
      <c r="A83" s="1" t="s">
        <v>236</v>
      </c>
      <c r="B83" s="1" t="s">
        <v>31</v>
      </c>
      <c r="C83" s="3">
        <v>25590</v>
      </c>
      <c r="D83" s="1" t="s">
        <v>14</v>
      </c>
      <c r="E83">
        <v>2018</v>
      </c>
      <c r="F83" s="1" t="s">
        <v>15</v>
      </c>
      <c r="G83" s="1" t="s">
        <v>16</v>
      </c>
      <c r="H83" s="1" t="s">
        <v>17</v>
      </c>
      <c r="I83" s="1" t="s">
        <v>18</v>
      </c>
      <c r="J83" s="1" t="s">
        <v>32</v>
      </c>
      <c r="K83">
        <v>23928</v>
      </c>
      <c r="L83" s="1" t="s">
        <v>52</v>
      </c>
      <c r="M83" s="1" t="s">
        <v>21</v>
      </c>
      <c r="N83" s="2">
        <v>44755</v>
      </c>
    </row>
    <row r="84" spans="1:14" x14ac:dyDescent="0.25">
      <c r="A84" s="1" t="s">
        <v>237</v>
      </c>
      <c r="B84" s="1" t="s">
        <v>238</v>
      </c>
      <c r="C84" s="3">
        <v>15995</v>
      </c>
      <c r="D84" s="1" t="s">
        <v>14</v>
      </c>
      <c r="E84">
        <v>2019</v>
      </c>
      <c r="F84" s="1" t="s">
        <v>187</v>
      </c>
      <c r="G84" s="1" t="s">
        <v>41</v>
      </c>
      <c r="H84" s="1" t="s">
        <v>17</v>
      </c>
      <c r="I84" s="1" t="s">
        <v>18</v>
      </c>
      <c r="J84" s="1" t="s">
        <v>32</v>
      </c>
      <c r="K84">
        <v>110694</v>
      </c>
      <c r="L84" s="1" t="s">
        <v>52</v>
      </c>
      <c r="M84" s="1" t="s">
        <v>21</v>
      </c>
      <c r="N84" s="2">
        <v>44755</v>
      </c>
    </row>
    <row r="85" spans="1:14" x14ac:dyDescent="0.25">
      <c r="A85" s="1" t="s">
        <v>239</v>
      </c>
      <c r="B85" s="1" t="s">
        <v>240</v>
      </c>
      <c r="C85" s="3">
        <v>17973</v>
      </c>
      <c r="D85" s="1" t="s">
        <v>14</v>
      </c>
      <c r="E85">
        <v>2016</v>
      </c>
      <c r="F85" s="1" t="s">
        <v>187</v>
      </c>
      <c r="G85" s="1" t="s">
        <v>68</v>
      </c>
      <c r="H85" s="1" t="s">
        <v>17</v>
      </c>
      <c r="I85" s="1" t="s">
        <v>18</v>
      </c>
      <c r="J85" s="1" t="s">
        <v>241</v>
      </c>
      <c r="K85">
        <v>95037</v>
      </c>
      <c r="L85" s="1" t="s">
        <v>52</v>
      </c>
      <c r="M85" s="1" t="s">
        <v>21</v>
      </c>
      <c r="N85" s="2">
        <v>44755</v>
      </c>
    </row>
    <row r="86" spans="1:14" x14ac:dyDescent="0.25">
      <c r="A86" s="1" t="s">
        <v>242</v>
      </c>
      <c r="B86" s="1" t="s">
        <v>243</v>
      </c>
      <c r="C86" s="3">
        <v>44395</v>
      </c>
      <c r="D86" s="1" t="s">
        <v>14</v>
      </c>
      <c r="E86">
        <v>2020</v>
      </c>
      <c r="F86" s="1" t="s">
        <v>35</v>
      </c>
      <c r="G86" s="1" t="s">
        <v>25</v>
      </c>
      <c r="H86" s="1" t="s">
        <v>17</v>
      </c>
      <c r="I86" s="1" t="s">
        <v>18</v>
      </c>
      <c r="J86" s="1" t="s">
        <v>69</v>
      </c>
      <c r="K86">
        <v>27806</v>
      </c>
      <c r="L86" s="1" t="s">
        <v>20</v>
      </c>
      <c r="M86" s="1" t="s">
        <v>21</v>
      </c>
      <c r="N86" s="2">
        <v>44755</v>
      </c>
    </row>
    <row r="87" spans="1:14" x14ac:dyDescent="0.25">
      <c r="A87" s="1" t="s">
        <v>244</v>
      </c>
      <c r="B87" s="1" t="s">
        <v>245</v>
      </c>
      <c r="C87" s="3">
        <v>28499</v>
      </c>
      <c r="D87" s="1" t="s">
        <v>14</v>
      </c>
      <c r="E87">
        <v>2015</v>
      </c>
      <c r="F87" s="1" t="s">
        <v>55</v>
      </c>
      <c r="G87" s="1" t="s">
        <v>25</v>
      </c>
      <c r="H87" s="1" t="s">
        <v>17</v>
      </c>
      <c r="I87" s="1" t="s">
        <v>18</v>
      </c>
      <c r="J87" s="1" t="s">
        <v>137</v>
      </c>
      <c r="K87">
        <v>109316</v>
      </c>
      <c r="L87" s="1" t="s">
        <v>20</v>
      </c>
      <c r="M87" s="1" t="s">
        <v>21</v>
      </c>
      <c r="N87" s="2">
        <v>44755</v>
      </c>
    </row>
    <row r="88" spans="1:14" x14ac:dyDescent="0.25">
      <c r="A88" s="1" t="s">
        <v>246</v>
      </c>
      <c r="B88" s="1" t="s">
        <v>157</v>
      </c>
      <c r="C88" s="3">
        <v>25997</v>
      </c>
      <c r="D88" s="1" t="s">
        <v>14</v>
      </c>
      <c r="E88">
        <v>2019</v>
      </c>
      <c r="F88" s="1" t="s">
        <v>76</v>
      </c>
      <c r="G88" s="1" t="s">
        <v>41</v>
      </c>
      <c r="H88" s="1" t="s">
        <v>17</v>
      </c>
      <c r="I88" s="1" t="s">
        <v>18</v>
      </c>
      <c r="J88" s="1" t="s">
        <v>92</v>
      </c>
      <c r="K88">
        <v>58248</v>
      </c>
      <c r="L88" s="1" t="s">
        <v>52</v>
      </c>
      <c r="M88" s="1" t="s">
        <v>21</v>
      </c>
      <c r="N88" s="2">
        <v>44755</v>
      </c>
    </row>
    <row r="89" spans="1:14" x14ac:dyDescent="0.25">
      <c r="A89" s="1" t="s">
        <v>247</v>
      </c>
      <c r="B89" s="1" t="s">
        <v>248</v>
      </c>
      <c r="C89" s="3">
        <v>76511</v>
      </c>
      <c r="D89" s="1" t="s">
        <v>14</v>
      </c>
      <c r="E89">
        <v>2021</v>
      </c>
      <c r="F89" s="1" t="s">
        <v>29</v>
      </c>
      <c r="G89" s="1" t="s">
        <v>25</v>
      </c>
      <c r="H89" s="1" t="s">
        <v>160</v>
      </c>
      <c r="I89" s="1" t="s">
        <v>18</v>
      </c>
      <c r="J89" s="1" t="s">
        <v>249</v>
      </c>
      <c r="K89">
        <v>8317</v>
      </c>
      <c r="L89" s="1" t="s">
        <v>20</v>
      </c>
      <c r="M89" s="1" t="s">
        <v>21</v>
      </c>
      <c r="N89" s="2">
        <v>44755</v>
      </c>
    </row>
    <row r="90" spans="1:14" x14ac:dyDescent="0.25">
      <c r="A90" s="1" t="s">
        <v>250</v>
      </c>
      <c r="B90" s="1" t="s">
        <v>251</v>
      </c>
      <c r="C90" s="3">
        <v>46250</v>
      </c>
      <c r="D90" s="1" t="s">
        <v>14</v>
      </c>
      <c r="E90">
        <v>2021</v>
      </c>
      <c r="F90" s="1" t="s">
        <v>55</v>
      </c>
      <c r="G90" s="1" t="s">
        <v>16</v>
      </c>
      <c r="H90" s="1" t="s">
        <v>17</v>
      </c>
      <c r="I90" s="1" t="s">
        <v>18</v>
      </c>
      <c r="J90" s="1" t="s">
        <v>19</v>
      </c>
      <c r="K90">
        <v>11338</v>
      </c>
      <c r="L90" s="1" t="s">
        <v>44</v>
      </c>
      <c r="M90" s="1" t="s">
        <v>21</v>
      </c>
      <c r="N90" s="2">
        <v>44755</v>
      </c>
    </row>
    <row r="91" spans="1:14" x14ac:dyDescent="0.25">
      <c r="A91" s="1" t="s">
        <v>252</v>
      </c>
      <c r="B91" s="1" t="s">
        <v>253</v>
      </c>
      <c r="C91" s="3">
        <v>239991</v>
      </c>
      <c r="D91" s="1" t="s">
        <v>14</v>
      </c>
      <c r="E91">
        <v>2021</v>
      </c>
      <c r="F91" s="1" t="s">
        <v>154</v>
      </c>
      <c r="G91" s="1" t="s">
        <v>16</v>
      </c>
      <c r="H91" s="1" t="s">
        <v>17</v>
      </c>
      <c r="I91" s="1" t="s">
        <v>18</v>
      </c>
      <c r="J91" s="1" t="s">
        <v>142</v>
      </c>
      <c r="K91">
        <v>54</v>
      </c>
      <c r="L91" s="1" t="s">
        <v>44</v>
      </c>
      <c r="M91" s="1" t="s">
        <v>21</v>
      </c>
      <c r="N91" s="2">
        <v>44755</v>
      </c>
    </row>
    <row r="92" spans="1:14" x14ac:dyDescent="0.25">
      <c r="A92" s="1" t="s">
        <v>254</v>
      </c>
      <c r="B92" s="1" t="s">
        <v>197</v>
      </c>
      <c r="C92" s="3">
        <v>56998</v>
      </c>
      <c r="D92" s="1" t="s">
        <v>14</v>
      </c>
      <c r="E92">
        <v>2021</v>
      </c>
      <c r="F92" s="1" t="s">
        <v>85</v>
      </c>
      <c r="G92" s="1" t="s">
        <v>41</v>
      </c>
      <c r="H92" s="1" t="s">
        <v>17</v>
      </c>
      <c r="I92" s="1" t="s">
        <v>18</v>
      </c>
      <c r="J92" s="1" t="s">
        <v>182</v>
      </c>
      <c r="K92">
        <v>14999</v>
      </c>
      <c r="L92" s="1" t="s">
        <v>44</v>
      </c>
      <c r="M92" s="1" t="s">
        <v>21</v>
      </c>
      <c r="N92" s="2">
        <v>44755</v>
      </c>
    </row>
    <row r="93" spans="1:14" x14ac:dyDescent="0.25">
      <c r="A93" s="1" t="s">
        <v>255</v>
      </c>
      <c r="B93" s="1" t="s">
        <v>256</v>
      </c>
      <c r="C93" s="3">
        <v>32997</v>
      </c>
      <c r="D93" s="1" t="s">
        <v>14</v>
      </c>
      <c r="E93">
        <v>2022</v>
      </c>
      <c r="F93" s="1" t="s">
        <v>95</v>
      </c>
      <c r="G93" s="1" t="s">
        <v>41</v>
      </c>
      <c r="H93" s="1" t="s">
        <v>17</v>
      </c>
      <c r="I93" s="1" t="s">
        <v>18</v>
      </c>
      <c r="J93" s="1" t="s">
        <v>73</v>
      </c>
      <c r="K93">
        <v>2697</v>
      </c>
      <c r="L93" s="1" t="s">
        <v>52</v>
      </c>
      <c r="M93" s="1" t="s">
        <v>21</v>
      </c>
      <c r="N93" s="2">
        <v>44755</v>
      </c>
    </row>
    <row r="94" spans="1:14" x14ac:dyDescent="0.25">
      <c r="A94" s="1" t="s">
        <v>257</v>
      </c>
      <c r="B94" s="1" t="s">
        <v>258</v>
      </c>
      <c r="C94" s="3">
        <v>18703</v>
      </c>
      <c r="D94" s="1" t="s">
        <v>14</v>
      </c>
      <c r="E94">
        <v>2015</v>
      </c>
      <c r="F94" s="1" t="s">
        <v>210</v>
      </c>
      <c r="G94" s="1" t="s">
        <v>16</v>
      </c>
      <c r="H94" s="1" t="s">
        <v>17</v>
      </c>
      <c r="I94" s="1" t="s">
        <v>18</v>
      </c>
      <c r="J94" s="1" t="s">
        <v>19</v>
      </c>
      <c r="K94">
        <v>118835</v>
      </c>
      <c r="L94" s="1" t="s">
        <v>44</v>
      </c>
      <c r="M94" s="1" t="s">
        <v>21</v>
      </c>
      <c r="N94" s="2">
        <v>44755</v>
      </c>
    </row>
    <row r="95" spans="1:14" x14ac:dyDescent="0.25">
      <c r="A95" s="1" t="s">
        <v>259</v>
      </c>
      <c r="B95" s="1" t="s">
        <v>134</v>
      </c>
      <c r="C95" s="3">
        <v>29958</v>
      </c>
      <c r="D95" s="1" t="s">
        <v>14</v>
      </c>
      <c r="E95">
        <v>2018</v>
      </c>
      <c r="F95" s="1" t="s">
        <v>24</v>
      </c>
      <c r="G95" s="1" t="s">
        <v>16</v>
      </c>
      <c r="H95" s="1" t="s">
        <v>17</v>
      </c>
      <c r="I95" s="1" t="s">
        <v>18</v>
      </c>
      <c r="J95" s="1" t="s">
        <v>51</v>
      </c>
      <c r="K95">
        <v>32013</v>
      </c>
      <c r="L95" s="1" t="s">
        <v>44</v>
      </c>
      <c r="M95" s="1" t="s">
        <v>21</v>
      </c>
      <c r="N95" s="2">
        <v>44755</v>
      </c>
    </row>
    <row r="96" spans="1:14" x14ac:dyDescent="0.25">
      <c r="A96" s="1" t="s">
        <v>260</v>
      </c>
      <c r="B96" s="1" t="s">
        <v>163</v>
      </c>
      <c r="C96" s="3">
        <v>27967</v>
      </c>
      <c r="D96" s="1" t="s">
        <v>14</v>
      </c>
      <c r="E96">
        <v>2020</v>
      </c>
      <c r="F96" s="1" t="s">
        <v>35</v>
      </c>
      <c r="G96" s="1" t="s">
        <v>16</v>
      </c>
      <c r="H96" s="1" t="s">
        <v>17</v>
      </c>
      <c r="I96" s="1" t="s">
        <v>18</v>
      </c>
      <c r="J96" s="1" t="s">
        <v>92</v>
      </c>
      <c r="K96">
        <v>63145</v>
      </c>
      <c r="L96" s="1" t="s">
        <v>52</v>
      </c>
      <c r="M96" s="1" t="s">
        <v>21</v>
      </c>
      <c r="N96" s="2">
        <v>44755</v>
      </c>
    </row>
    <row r="97" spans="1:14" x14ac:dyDescent="0.25">
      <c r="A97" s="1" t="s">
        <v>261</v>
      </c>
      <c r="B97" s="1" t="s">
        <v>262</v>
      </c>
      <c r="C97" s="3">
        <v>17737</v>
      </c>
      <c r="D97" s="1" t="s">
        <v>14</v>
      </c>
      <c r="E97">
        <v>2018</v>
      </c>
      <c r="F97" s="1" t="s">
        <v>49</v>
      </c>
      <c r="G97" s="1" t="s">
        <v>41</v>
      </c>
      <c r="H97" s="1" t="s">
        <v>17</v>
      </c>
      <c r="I97" s="1" t="s">
        <v>18</v>
      </c>
      <c r="J97" s="1" t="s">
        <v>101</v>
      </c>
      <c r="K97">
        <v>60783</v>
      </c>
      <c r="L97" s="1" t="s">
        <v>52</v>
      </c>
      <c r="M97" s="1" t="s">
        <v>21</v>
      </c>
      <c r="N97" s="2">
        <v>44755</v>
      </c>
    </row>
    <row r="98" spans="1:14" x14ac:dyDescent="0.25">
      <c r="A98" s="1" t="s">
        <v>263</v>
      </c>
      <c r="B98" s="1" t="s">
        <v>144</v>
      </c>
      <c r="C98" s="3">
        <v>36495</v>
      </c>
      <c r="D98" s="1" t="s">
        <v>14</v>
      </c>
      <c r="E98">
        <v>2019</v>
      </c>
      <c r="F98" s="1" t="s">
        <v>95</v>
      </c>
      <c r="G98" s="1" t="s">
        <v>16</v>
      </c>
      <c r="H98" s="1" t="s">
        <v>17</v>
      </c>
      <c r="I98" s="1" t="s">
        <v>18</v>
      </c>
      <c r="J98" s="1" t="s">
        <v>69</v>
      </c>
      <c r="K98">
        <v>29211</v>
      </c>
      <c r="L98" s="1" t="s">
        <v>44</v>
      </c>
      <c r="M98" s="1" t="s">
        <v>21</v>
      </c>
      <c r="N98" s="2">
        <v>44755</v>
      </c>
    </row>
    <row r="99" spans="1:14" x14ac:dyDescent="0.25">
      <c r="A99" s="1" t="s">
        <v>264</v>
      </c>
      <c r="B99" s="1" t="s">
        <v>218</v>
      </c>
      <c r="C99" s="3">
        <v>19191</v>
      </c>
      <c r="D99" s="1" t="s">
        <v>14</v>
      </c>
      <c r="E99">
        <v>2016</v>
      </c>
      <c r="F99" s="1" t="s">
        <v>174</v>
      </c>
      <c r="G99" s="1" t="s">
        <v>16</v>
      </c>
      <c r="H99" s="1" t="s">
        <v>17</v>
      </c>
      <c r="I99" s="1" t="s">
        <v>18</v>
      </c>
      <c r="J99" s="1" t="s">
        <v>19</v>
      </c>
      <c r="K99">
        <v>61714</v>
      </c>
      <c r="L99" s="1" t="s">
        <v>52</v>
      </c>
      <c r="M99" s="1" t="s">
        <v>21</v>
      </c>
      <c r="N99" s="2">
        <v>44755</v>
      </c>
    </row>
    <row r="100" spans="1:14" x14ac:dyDescent="0.25">
      <c r="A100" s="1" t="s">
        <v>265</v>
      </c>
      <c r="B100" s="1" t="s">
        <v>136</v>
      </c>
      <c r="C100" s="3">
        <v>24990</v>
      </c>
      <c r="D100" s="1" t="s">
        <v>14</v>
      </c>
      <c r="E100">
        <v>2011</v>
      </c>
      <c r="F100" s="1" t="s">
        <v>55</v>
      </c>
      <c r="G100" s="1" t="s">
        <v>16</v>
      </c>
      <c r="H100" s="1" t="s">
        <v>17</v>
      </c>
      <c r="I100" s="1" t="s">
        <v>18</v>
      </c>
      <c r="J100" s="1" t="s">
        <v>137</v>
      </c>
      <c r="K100">
        <v>89028</v>
      </c>
      <c r="L100" s="1" t="s">
        <v>37</v>
      </c>
      <c r="M100" s="1" t="s">
        <v>21</v>
      </c>
      <c r="N100" s="2">
        <v>44755</v>
      </c>
    </row>
    <row r="101" spans="1:14" x14ac:dyDescent="0.25">
      <c r="A101" s="1" t="s">
        <v>266</v>
      </c>
      <c r="B101" s="1" t="s">
        <v>23</v>
      </c>
      <c r="C101" s="3">
        <v>32990</v>
      </c>
      <c r="D101" s="1" t="s">
        <v>14</v>
      </c>
      <c r="E101">
        <v>2015</v>
      </c>
      <c r="F101" s="1" t="s">
        <v>24</v>
      </c>
      <c r="G101" s="1" t="s">
        <v>25</v>
      </c>
      <c r="H101" s="1" t="s">
        <v>17</v>
      </c>
      <c r="I101" s="1" t="s">
        <v>18</v>
      </c>
      <c r="J101" s="1" t="s">
        <v>267</v>
      </c>
      <c r="K101">
        <v>59691</v>
      </c>
      <c r="L101" s="1" t="s">
        <v>20</v>
      </c>
      <c r="M101" s="1" t="s">
        <v>21</v>
      </c>
      <c r="N101" s="2">
        <v>44755</v>
      </c>
    </row>
    <row r="102" spans="1:14" x14ac:dyDescent="0.25">
      <c r="A102" s="1" t="s">
        <v>268</v>
      </c>
      <c r="B102" s="1" t="s">
        <v>269</v>
      </c>
      <c r="C102" s="3">
        <v>25990</v>
      </c>
      <c r="D102" s="1" t="s">
        <v>14</v>
      </c>
      <c r="E102">
        <v>2017</v>
      </c>
      <c r="F102" s="1" t="s">
        <v>210</v>
      </c>
      <c r="G102" s="1" t="s">
        <v>16</v>
      </c>
      <c r="H102" s="1" t="s">
        <v>17</v>
      </c>
      <c r="I102" s="1" t="s">
        <v>18</v>
      </c>
      <c r="J102" s="1" t="s">
        <v>92</v>
      </c>
      <c r="K102">
        <v>37481</v>
      </c>
      <c r="L102" s="1" t="s">
        <v>52</v>
      </c>
      <c r="M102" s="1" t="s">
        <v>21</v>
      </c>
      <c r="N102" s="2">
        <v>44755</v>
      </c>
    </row>
    <row r="103" spans="1:14" x14ac:dyDescent="0.25">
      <c r="A103" s="1" t="s">
        <v>270</v>
      </c>
      <c r="B103" s="1" t="s">
        <v>13</v>
      </c>
      <c r="C103" s="3">
        <v>33691</v>
      </c>
      <c r="D103" s="1" t="s">
        <v>14</v>
      </c>
      <c r="E103">
        <v>2019</v>
      </c>
      <c r="F103" s="1" t="s">
        <v>15</v>
      </c>
      <c r="G103" s="1" t="s">
        <v>16</v>
      </c>
      <c r="H103" s="1" t="s">
        <v>17</v>
      </c>
      <c r="I103" s="1" t="s">
        <v>18</v>
      </c>
      <c r="J103" s="1" t="s">
        <v>19</v>
      </c>
      <c r="K103">
        <v>23246</v>
      </c>
      <c r="L103" s="1" t="s">
        <v>20</v>
      </c>
      <c r="M103" s="1" t="s">
        <v>21</v>
      </c>
      <c r="N103" s="2">
        <v>44755</v>
      </c>
    </row>
    <row r="104" spans="1:14" x14ac:dyDescent="0.25">
      <c r="A104" s="1" t="s">
        <v>271</v>
      </c>
      <c r="B104" s="1" t="s">
        <v>272</v>
      </c>
      <c r="C104" s="3">
        <v>27954</v>
      </c>
      <c r="D104" s="1" t="s">
        <v>14</v>
      </c>
      <c r="E104">
        <v>2020</v>
      </c>
      <c r="F104" s="1" t="s">
        <v>204</v>
      </c>
      <c r="G104" s="1" t="s">
        <v>41</v>
      </c>
      <c r="H104" s="1" t="s">
        <v>17</v>
      </c>
      <c r="I104" s="1" t="s">
        <v>18</v>
      </c>
      <c r="J104" s="1" t="s">
        <v>32</v>
      </c>
      <c r="K104">
        <v>34015</v>
      </c>
      <c r="L104" s="1" t="s">
        <v>52</v>
      </c>
      <c r="M104" s="1" t="s">
        <v>21</v>
      </c>
      <c r="N104" s="2">
        <v>44755</v>
      </c>
    </row>
    <row r="105" spans="1:14" x14ac:dyDescent="0.25">
      <c r="A105" s="1" t="s">
        <v>273</v>
      </c>
      <c r="B105" s="1" t="s">
        <v>256</v>
      </c>
      <c r="C105" s="3">
        <v>28601</v>
      </c>
      <c r="D105" s="1" t="s">
        <v>14</v>
      </c>
      <c r="E105">
        <v>2021</v>
      </c>
      <c r="F105" s="1" t="s">
        <v>95</v>
      </c>
      <c r="G105" s="1" t="s">
        <v>41</v>
      </c>
      <c r="H105" s="1" t="s">
        <v>17</v>
      </c>
      <c r="I105" s="1" t="s">
        <v>18</v>
      </c>
      <c r="J105" s="1" t="s">
        <v>132</v>
      </c>
      <c r="K105">
        <v>6792</v>
      </c>
      <c r="L105" s="1" t="s">
        <v>52</v>
      </c>
      <c r="M105" s="1" t="s">
        <v>21</v>
      </c>
      <c r="N105" s="2">
        <v>44755</v>
      </c>
    </row>
    <row r="106" spans="1:14" x14ac:dyDescent="0.25">
      <c r="A106" s="1" t="s">
        <v>274</v>
      </c>
      <c r="B106" s="1" t="s">
        <v>75</v>
      </c>
      <c r="C106" s="3">
        <v>12599</v>
      </c>
      <c r="D106" s="1" t="s">
        <v>14</v>
      </c>
      <c r="E106">
        <v>2012</v>
      </c>
      <c r="F106" s="1" t="s">
        <v>76</v>
      </c>
      <c r="G106" s="1" t="s">
        <v>16</v>
      </c>
      <c r="H106" s="1" t="s">
        <v>17</v>
      </c>
      <c r="I106" s="1" t="s">
        <v>18</v>
      </c>
      <c r="J106" s="1" t="s">
        <v>69</v>
      </c>
      <c r="K106">
        <v>100545</v>
      </c>
      <c r="L106" s="1" t="s">
        <v>44</v>
      </c>
      <c r="M106" s="1" t="s">
        <v>21</v>
      </c>
      <c r="N106" s="2">
        <v>44755</v>
      </c>
    </row>
    <row r="107" spans="1:14" x14ac:dyDescent="0.25">
      <c r="A107" s="1" t="s">
        <v>275</v>
      </c>
      <c r="B107" s="1" t="s">
        <v>276</v>
      </c>
      <c r="C107" s="3">
        <v>23699</v>
      </c>
      <c r="D107" s="1" t="s">
        <v>14</v>
      </c>
      <c r="E107">
        <v>2017</v>
      </c>
      <c r="F107" s="1" t="s">
        <v>174</v>
      </c>
      <c r="G107" s="1" t="s">
        <v>16</v>
      </c>
      <c r="H107" s="1" t="s">
        <v>17</v>
      </c>
      <c r="I107" s="1" t="s">
        <v>18</v>
      </c>
      <c r="J107" s="1" t="s">
        <v>19</v>
      </c>
      <c r="K107">
        <v>94024</v>
      </c>
      <c r="L107" s="1" t="s">
        <v>44</v>
      </c>
      <c r="M107" s="1" t="s">
        <v>21</v>
      </c>
      <c r="N107" s="2">
        <v>44755</v>
      </c>
    </row>
    <row r="108" spans="1:14" x14ac:dyDescent="0.25">
      <c r="A108" s="1" t="s">
        <v>213</v>
      </c>
      <c r="B108" s="1" t="s">
        <v>23</v>
      </c>
      <c r="C108" s="3">
        <v>34888</v>
      </c>
      <c r="D108" s="1" t="s">
        <v>14</v>
      </c>
      <c r="E108">
        <v>2018</v>
      </c>
      <c r="F108" s="1" t="s">
        <v>24</v>
      </c>
      <c r="G108" s="1" t="s">
        <v>25</v>
      </c>
      <c r="H108" s="1" t="s">
        <v>17</v>
      </c>
      <c r="I108" s="1" t="s">
        <v>18</v>
      </c>
      <c r="J108" s="1" t="s">
        <v>277</v>
      </c>
      <c r="K108">
        <v>64939</v>
      </c>
      <c r="L108" s="1" t="s">
        <v>20</v>
      </c>
      <c r="M108" s="1" t="s">
        <v>21</v>
      </c>
      <c r="N108" s="2">
        <v>44755</v>
      </c>
    </row>
    <row r="109" spans="1:14" x14ac:dyDescent="0.25">
      <c r="A109" s="1" t="s">
        <v>214</v>
      </c>
      <c r="B109" s="1" t="s">
        <v>28</v>
      </c>
      <c r="C109" s="3">
        <v>54995</v>
      </c>
      <c r="D109" s="1" t="s">
        <v>14</v>
      </c>
      <c r="E109">
        <v>2021</v>
      </c>
      <c r="F109" s="1" t="s">
        <v>29</v>
      </c>
      <c r="G109" s="1" t="s">
        <v>25</v>
      </c>
      <c r="H109" s="1" t="s">
        <v>17</v>
      </c>
      <c r="I109" s="1" t="s">
        <v>18</v>
      </c>
      <c r="J109" s="1" t="s">
        <v>36</v>
      </c>
      <c r="K109">
        <v>5617</v>
      </c>
      <c r="L109" s="1" t="s">
        <v>20</v>
      </c>
      <c r="M109" s="1" t="s">
        <v>21</v>
      </c>
      <c r="N109" s="2">
        <v>44755</v>
      </c>
    </row>
    <row r="110" spans="1:14" x14ac:dyDescent="0.25">
      <c r="A110" s="1" t="s">
        <v>278</v>
      </c>
      <c r="B110" s="1" t="s">
        <v>28</v>
      </c>
      <c r="C110" s="3">
        <v>30888</v>
      </c>
      <c r="D110" s="1" t="s">
        <v>14</v>
      </c>
      <c r="E110">
        <v>2017</v>
      </c>
      <c r="F110" s="1" t="s">
        <v>29</v>
      </c>
      <c r="G110" s="1" t="s">
        <v>25</v>
      </c>
      <c r="H110" s="1" t="s">
        <v>17</v>
      </c>
      <c r="I110" s="1" t="s">
        <v>18</v>
      </c>
      <c r="J110" s="1" t="s">
        <v>19</v>
      </c>
      <c r="K110">
        <v>79752</v>
      </c>
      <c r="L110" s="1" t="s">
        <v>20</v>
      </c>
      <c r="M110" s="1" t="s">
        <v>21</v>
      </c>
      <c r="N110" s="2">
        <v>44755</v>
      </c>
    </row>
    <row r="111" spans="1:14" x14ac:dyDescent="0.25">
      <c r="A111" s="1" t="s">
        <v>279</v>
      </c>
      <c r="B111" s="1" t="s">
        <v>280</v>
      </c>
      <c r="C111" s="3">
        <v>43986</v>
      </c>
      <c r="D111" s="1" t="s">
        <v>14</v>
      </c>
      <c r="E111">
        <v>2018</v>
      </c>
      <c r="F111" s="1" t="s">
        <v>24</v>
      </c>
      <c r="G111" s="1" t="s">
        <v>16</v>
      </c>
      <c r="H111" s="1" t="s">
        <v>17</v>
      </c>
      <c r="I111" s="1" t="s">
        <v>18</v>
      </c>
      <c r="J111" s="1" t="s">
        <v>46</v>
      </c>
      <c r="K111">
        <v>66119</v>
      </c>
      <c r="L111" s="1" t="s">
        <v>20</v>
      </c>
      <c r="M111" s="1" t="s">
        <v>21</v>
      </c>
      <c r="N111" s="2">
        <v>44755</v>
      </c>
    </row>
    <row r="112" spans="1:14" x14ac:dyDescent="0.25">
      <c r="A112" s="1" t="s">
        <v>281</v>
      </c>
      <c r="B112" s="1" t="s">
        <v>282</v>
      </c>
      <c r="C112" s="3">
        <v>51595</v>
      </c>
      <c r="D112" s="1" t="s">
        <v>14</v>
      </c>
      <c r="E112">
        <v>2020</v>
      </c>
      <c r="F112" s="1" t="s">
        <v>283</v>
      </c>
      <c r="G112" s="1" t="s">
        <v>41</v>
      </c>
      <c r="H112" s="1" t="s">
        <v>17</v>
      </c>
      <c r="I112" s="1" t="s">
        <v>18</v>
      </c>
      <c r="J112" s="1" t="s">
        <v>267</v>
      </c>
      <c r="K112">
        <v>12401</v>
      </c>
      <c r="L112" s="1" t="s">
        <v>52</v>
      </c>
      <c r="M112" s="1" t="s">
        <v>21</v>
      </c>
      <c r="N112" s="2">
        <v>44755</v>
      </c>
    </row>
    <row r="113" spans="1:14" x14ac:dyDescent="0.25">
      <c r="A113" s="1" t="s">
        <v>284</v>
      </c>
      <c r="B113" s="1" t="s">
        <v>285</v>
      </c>
      <c r="C113" s="3">
        <v>29346</v>
      </c>
      <c r="D113" s="1" t="s">
        <v>14</v>
      </c>
      <c r="E113">
        <v>2019</v>
      </c>
      <c r="F113" s="1" t="s">
        <v>154</v>
      </c>
      <c r="G113" s="1" t="s">
        <v>16</v>
      </c>
      <c r="H113" s="1" t="s">
        <v>17</v>
      </c>
      <c r="I113" s="1" t="s">
        <v>18</v>
      </c>
      <c r="J113" s="1" t="s">
        <v>51</v>
      </c>
      <c r="K113">
        <v>26694</v>
      </c>
      <c r="L113" s="1" t="s">
        <v>44</v>
      </c>
      <c r="M113" s="1" t="s">
        <v>21</v>
      </c>
      <c r="N113" s="2">
        <v>44755</v>
      </c>
    </row>
    <row r="114" spans="1:14" x14ac:dyDescent="0.25">
      <c r="A114" s="1" t="s">
        <v>286</v>
      </c>
      <c r="B114" s="1" t="s">
        <v>287</v>
      </c>
      <c r="C114" s="3">
        <v>21287</v>
      </c>
      <c r="D114" s="1" t="s">
        <v>14</v>
      </c>
      <c r="E114">
        <v>2018</v>
      </c>
      <c r="F114" s="1" t="s">
        <v>233</v>
      </c>
      <c r="G114" s="1" t="s">
        <v>41</v>
      </c>
      <c r="H114" s="1" t="s">
        <v>17</v>
      </c>
      <c r="I114" s="1" t="s">
        <v>18</v>
      </c>
      <c r="J114" s="1" t="s">
        <v>19</v>
      </c>
      <c r="K114">
        <v>80076</v>
      </c>
      <c r="L114" s="1" t="s">
        <v>44</v>
      </c>
      <c r="M114" s="1" t="s">
        <v>21</v>
      </c>
      <c r="N114" s="2">
        <v>44755</v>
      </c>
    </row>
    <row r="115" spans="1:14" x14ac:dyDescent="0.25">
      <c r="A115" s="1" t="s">
        <v>288</v>
      </c>
      <c r="B115" s="1" t="s">
        <v>289</v>
      </c>
      <c r="C115" s="3">
        <v>66995</v>
      </c>
      <c r="D115" s="1" t="s">
        <v>14</v>
      </c>
      <c r="E115">
        <v>2021</v>
      </c>
      <c r="F115" s="1" t="s">
        <v>24</v>
      </c>
      <c r="G115" s="1" t="s">
        <v>290</v>
      </c>
      <c r="H115" s="1" t="s">
        <v>17</v>
      </c>
      <c r="I115" s="1" t="s">
        <v>64</v>
      </c>
      <c r="J115" s="1" t="s">
        <v>277</v>
      </c>
      <c r="K115">
        <v>5505</v>
      </c>
      <c r="L115" s="1" t="s">
        <v>37</v>
      </c>
      <c r="M115" s="1" t="s">
        <v>21</v>
      </c>
      <c r="N115" s="2">
        <v>44755</v>
      </c>
    </row>
    <row r="116" spans="1:14" x14ac:dyDescent="0.25">
      <c r="A116" s="1" t="s">
        <v>291</v>
      </c>
      <c r="B116" s="1" t="s">
        <v>54</v>
      </c>
      <c r="C116" s="3">
        <v>21571</v>
      </c>
      <c r="D116" s="1" t="s">
        <v>14</v>
      </c>
      <c r="E116">
        <v>2017</v>
      </c>
      <c r="F116" s="1" t="s">
        <v>55</v>
      </c>
      <c r="G116" s="1" t="s">
        <v>16</v>
      </c>
      <c r="H116" s="1" t="s">
        <v>17</v>
      </c>
      <c r="I116" s="1" t="s">
        <v>18</v>
      </c>
      <c r="J116" s="1" t="s">
        <v>32</v>
      </c>
      <c r="K116">
        <v>58167</v>
      </c>
      <c r="L116" s="1" t="s">
        <v>44</v>
      </c>
      <c r="M116" s="1" t="s">
        <v>21</v>
      </c>
      <c r="N116" s="2">
        <v>44755</v>
      </c>
    </row>
    <row r="117" spans="1:14" x14ac:dyDescent="0.25">
      <c r="A117" s="1" t="s">
        <v>292</v>
      </c>
      <c r="B117" s="1" t="s">
        <v>293</v>
      </c>
      <c r="C117" s="3">
        <v>18561</v>
      </c>
      <c r="D117" s="1" t="s">
        <v>14</v>
      </c>
      <c r="E117">
        <v>2017</v>
      </c>
      <c r="F117" s="1" t="s">
        <v>72</v>
      </c>
      <c r="G117" s="1" t="s">
        <v>16</v>
      </c>
      <c r="H117" s="1" t="s">
        <v>17</v>
      </c>
      <c r="I117" s="1" t="s">
        <v>18</v>
      </c>
      <c r="J117" s="1" t="s">
        <v>32</v>
      </c>
      <c r="K117">
        <v>73292</v>
      </c>
      <c r="L117" s="1" t="s">
        <v>52</v>
      </c>
      <c r="M117" s="1" t="s">
        <v>21</v>
      </c>
      <c r="N117" s="2">
        <v>44755</v>
      </c>
    </row>
    <row r="118" spans="1:14" x14ac:dyDescent="0.25">
      <c r="A118" s="1" t="s">
        <v>294</v>
      </c>
      <c r="B118" s="1" t="s">
        <v>100</v>
      </c>
      <c r="C118" s="3">
        <v>23000</v>
      </c>
      <c r="D118" s="1" t="s">
        <v>14</v>
      </c>
      <c r="E118">
        <v>2020</v>
      </c>
      <c r="F118" s="1" t="s">
        <v>55</v>
      </c>
      <c r="G118" s="1" t="s">
        <v>16</v>
      </c>
      <c r="H118" s="1" t="s">
        <v>17</v>
      </c>
      <c r="I118" s="1" t="s">
        <v>18</v>
      </c>
      <c r="J118" s="1" t="s">
        <v>101</v>
      </c>
      <c r="K118">
        <v>29647</v>
      </c>
      <c r="L118" s="1" t="s">
        <v>52</v>
      </c>
      <c r="M118" s="1" t="s">
        <v>21</v>
      </c>
      <c r="N118" s="2">
        <v>44755</v>
      </c>
    </row>
    <row r="119" spans="1:14" x14ac:dyDescent="0.25">
      <c r="A119" s="1" t="s">
        <v>198</v>
      </c>
      <c r="B119" s="1" t="s">
        <v>107</v>
      </c>
      <c r="C119" s="3">
        <v>26188</v>
      </c>
      <c r="D119" s="1" t="s">
        <v>14</v>
      </c>
      <c r="E119">
        <v>2021</v>
      </c>
      <c r="F119" s="1" t="s">
        <v>35</v>
      </c>
      <c r="G119" s="1" t="s">
        <v>41</v>
      </c>
      <c r="H119" s="1" t="s">
        <v>17</v>
      </c>
      <c r="I119" s="1" t="s">
        <v>18</v>
      </c>
      <c r="J119" s="1" t="s">
        <v>92</v>
      </c>
      <c r="K119">
        <v>28954</v>
      </c>
      <c r="L119" s="1" t="s">
        <v>52</v>
      </c>
      <c r="M119" s="1" t="s">
        <v>21</v>
      </c>
      <c r="N119" s="2">
        <v>44755</v>
      </c>
    </row>
    <row r="120" spans="1:14" x14ac:dyDescent="0.25">
      <c r="A120" s="1" t="s">
        <v>295</v>
      </c>
      <c r="B120" s="1" t="s">
        <v>168</v>
      </c>
      <c r="C120" s="3">
        <v>26071</v>
      </c>
      <c r="D120" s="1" t="s">
        <v>14</v>
      </c>
      <c r="E120">
        <v>2017</v>
      </c>
      <c r="F120" s="1" t="s">
        <v>24</v>
      </c>
      <c r="G120" s="1" t="s">
        <v>16</v>
      </c>
      <c r="H120" s="1" t="s">
        <v>17</v>
      </c>
      <c r="I120" s="1" t="s">
        <v>18</v>
      </c>
      <c r="J120" s="1" t="s">
        <v>69</v>
      </c>
      <c r="K120">
        <v>53407</v>
      </c>
      <c r="L120" s="1" t="s">
        <v>52</v>
      </c>
      <c r="M120" s="1" t="s">
        <v>21</v>
      </c>
      <c r="N120" s="2">
        <v>44755</v>
      </c>
    </row>
    <row r="121" spans="1:14" x14ac:dyDescent="0.25">
      <c r="A121" s="1" t="s">
        <v>296</v>
      </c>
      <c r="B121" s="1" t="s">
        <v>297</v>
      </c>
      <c r="C121" s="3">
        <v>35897</v>
      </c>
      <c r="D121" s="1" t="s">
        <v>14</v>
      </c>
      <c r="E121">
        <v>2021</v>
      </c>
      <c r="F121" s="1" t="s">
        <v>298</v>
      </c>
      <c r="G121" s="1" t="s">
        <v>16</v>
      </c>
      <c r="H121" s="1" t="s">
        <v>17</v>
      </c>
      <c r="I121" s="1" t="s">
        <v>18</v>
      </c>
      <c r="J121" s="1" t="s">
        <v>299</v>
      </c>
      <c r="K121">
        <v>41056</v>
      </c>
      <c r="L121" s="1" t="s">
        <v>44</v>
      </c>
      <c r="M121" s="1" t="s">
        <v>21</v>
      </c>
      <c r="N121" s="2">
        <v>44755</v>
      </c>
    </row>
    <row r="122" spans="1:14" x14ac:dyDescent="0.25">
      <c r="A122" s="1" t="s">
        <v>300</v>
      </c>
      <c r="B122" s="1" t="s">
        <v>301</v>
      </c>
      <c r="C122" s="3">
        <v>26995</v>
      </c>
      <c r="D122" s="1" t="s">
        <v>14</v>
      </c>
      <c r="E122">
        <v>2019</v>
      </c>
      <c r="F122" s="1" t="s">
        <v>24</v>
      </c>
      <c r="G122" s="1" t="s">
        <v>41</v>
      </c>
      <c r="H122" s="1" t="s">
        <v>17</v>
      </c>
      <c r="I122" s="1" t="s">
        <v>18</v>
      </c>
      <c r="J122" s="1" t="s">
        <v>51</v>
      </c>
      <c r="K122">
        <v>59756</v>
      </c>
      <c r="L122" s="1" t="s">
        <v>44</v>
      </c>
      <c r="M122" s="1" t="s">
        <v>21</v>
      </c>
      <c r="N122" s="2">
        <v>44755</v>
      </c>
    </row>
    <row r="123" spans="1:14" x14ac:dyDescent="0.25">
      <c r="A123" s="1" t="s">
        <v>236</v>
      </c>
      <c r="B123" s="1" t="s">
        <v>31</v>
      </c>
      <c r="C123" s="3">
        <v>25499</v>
      </c>
      <c r="D123" s="1" t="s">
        <v>14</v>
      </c>
      <c r="E123">
        <v>2018</v>
      </c>
      <c r="F123" s="1" t="s">
        <v>15</v>
      </c>
      <c r="G123" s="1" t="s">
        <v>16</v>
      </c>
      <c r="H123" s="1" t="s">
        <v>17</v>
      </c>
      <c r="I123" s="1" t="s">
        <v>18</v>
      </c>
      <c r="J123" s="1" t="s">
        <v>32</v>
      </c>
      <c r="K123">
        <v>48213</v>
      </c>
      <c r="L123" s="1" t="s">
        <v>20</v>
      </c>
      <c r="M123" s="1" t="s">
        <v>21</v>
      </c>
      <c r="N123" s="2">
        <v>44755</v>
      </c>
    </row>
    <row r="124" spans="1:14" x14ac:dyDescent="0.25">
      <c r="A124" s="1" t="s">
        <v>302</v>
      </c>
      <c r="B124" s="1" t="s">
        <v>243</v>
      </c>
      <c r="C124" s="3">
        <v>34599</v>
      </c>
      <c r="D124" s="1" t="s">
        <v>14</v>
      </c>
      <c r="E124">
        <v>2019</v>
      </c>
      <c r="F124" s="1" t="s">
        <v>35</v>
      </c>
      <c r="G124" s="1" t="s">
        <v>25</v>
      </c>
      <c r="H124" s="1" t="s">
        <v>17</v>
      </c>
      <c r="I124" s="1" t="s">
        <v>18</v>
      </c>
      <c r="J124" s="1" t="s">
        <v>69</v>
      </c>
      <c r="K124">
        <v>75495</v>
      </c>
      <c r="L124" s="1" t="s">
        <v>20</v>
      </c>
      <c r="M124" s="1" t="s">
        <v>21</v>
      </c>
      <c r="N124" s="2">
        <v>44755</v>
      </c>
    </row>
    <row r="125" spans="1:14" x14ac:dyDescent="0.25">
      <c r="A125" s="1" t="s">
        <v>266</v>
      </c>
      <c r="B125" s="1" t="s">
        <v>23</v>
      </c>
      <c r="C125" s="3">
        <v>32991</v>
      </c>
      <c r="D125" s="1" t="s">
        <v>14</v>
      </c>
      <c r="E125">
        <v>2015</v>
      </c>
      <c r="F125" s="1" t="s">
        <v>24</v>
      </c>
      <c r="G125" s="1" t="s">
        <v>25</v>
      </c>
      <c r="H125" s="1" t="s">
        <v>17</v>
      </c>
      <c r="I125" s="1" t="s">
        <v>18</v>
      </c>
      <c r="J125" s="1" t="s">
        <v>267</v>
      </c>
      <c r="K125">
        <v>39939</v>
      </c>
      <c r="L125" s="1" t="s">
        <v>20</v>
      </c>
      <c r="M125" s="1" t="s">
        <v>21</v>
      </c>
      <c r="N125" s="2">
        <v>44755</v>
      </c>
    </row>
    <row r="126" spans="1:14" x14ac:dyDescent="0.25">
      <c r="A126" s="1" t="s">
        <v>303</v>
      </c>
      <c r="B126" s="1" t="s">
        <v>304</v>
      </c>
      <c r="C126" s="3">
        <v>59998</v>
      </c>
      <c r="D126" s="1" t="s">
        <v>14</v>
      </c>
      <c r="E126">
        <v>2019</v>
      </c>
      <c r="F126" s="1" t="s">
        <v>174</v>
      </c>
      <c r="G126" s="1" t="s">
        <v>16</v>
      </c>
      <c r="H126" s="1" t="s">
        <v>17</v>
      </c>
      <c r="I126" s="1" t="s">
        <v>18</v>
      </c>
      <c r="J126" s="1" t="s">
        <v>137</v>
      </c>
      <c r="K126">
        <v>34752</v>
      </c>
      <c r="L126" s="1" t="s">
        <v>20</v>
      </c>
      <c r="M126" s="1" t="s">
        <v>21</v>
      </c>
      <c r="N126" s="2">
        <v>44755</v>
      </c>
    </row>
    <row r="127" spans="1:14" x14ac:dyDescent="0.25">
      <c r="A127" s="1" t="s">
        <v>305</v>
      </c>
      <c r="B127" s="1" t="s">
        <v>306</v>
      </c>
      <c r="C127" s="3">
        <v>8777</v>
      </c>
      <c r="D127" s="1" t="s">
        <v>14</v>
      </c>
      <c r="E127">
        <v>2008</v>
      </c>
      <c r="F127" s="1" t="s">
        <v>119</v>
      </c>
      <c r="G127" s="1" t="s">
        <v>41</v>
      </c>
      <c r="H127" s="1" t="s">
        <v>17</v>
      </c>
      <c r="I127" s="1" t="s">
        <v>18</v>
      </c>
      <c r="J127" s="1" t="s">
        <v>148</v>
      </c>
      <c r="K127">
        <v>81387</v>
      </c>
      <c r="L127" s="1" t="s">
        <v>52</v>
      </c>
      <c r="M127" s="1" t="s">
        <v>21</v>
      </c>
      <c r="N127" s="2">
        <v>44755</v>
      </c>
    </row>
    <row r="128" spans="1:14" x14ac:dyDescent="0.25">
      <c r="A128" s="1" t="s">
        <v>307</v>
      </c>
      <c r="B128" s="1" t="s">
        <v>308</v>
      </c>
      <c r="C128" s="3">
        <v>48485</v>
      </c>
      <c r="D128" s="1" t="s">
        <v>14</v>
      </c>
      <c r="E128">
        <v>2019</v>
      </c>
      <c r="F128" s="1" t="s">
        <v>154</v>
      </c>
      <c r="G128" s="1" t="s">
        <v>16</v>
      </c>
      <c r="H128" s="1" t="s">
        <v>17</v>
      </c>
      <c r="I128" s="1" t="s">
        <v>18</v>
      </c>
      <c r="J128" s="1" t="s">
        <v>155</v>
      </c>
      <c r="K128">
        <v>53669</v>
      </c>
      <c r="L128" s="1" t="s">
        <v>44</v>
      </c>
      <c r="M128" s="1" t="s">
        <v>21</v>
      </c>
      <c r="N128" s="2">
        <v>44755</v>
      </c>
    </row>
    <row r="129" spans="1:14" x14ac:dyDescent="0.25">
      <c r="A129" s="1" t="s">
        <v>309</v>
      </c>
      <c r="B129" s="1" t="s">
        <v>245</v>
      </c>
      <c r="C129" s="3">
        <v>17000</v>
      </c>
      <c r="D129" s="1" t="s">
        <v>14</v>
      </c>
      <c r="E129">
        <v>2014</v>
      </c>
      <c r="F129" s="1" t="s">
        <v>55</v>
      </c>
      <c r="G129" s="1" t="s">
        <v>25</v>
      </c>
      <c r="H129" s="1" t="s">
        <v>17</v>
      </c>
      <c r="I129" s="1" t="s">
        <v>18</v>
      </c>
      <c r="J129" s="1" t="s">
        <v>137</v>
      </c>
      <c r="K129">
        <v>131009</v>
      </c>
      <c r="L129" s="1" t="s">
        <v>37</v>
      </c>
      <c r="M129" s="1" t="s">
        <v>21</v>
      </c>
      <c r="N129" s="2">
        <v>44755</v>
      </c>
    </row>
    <row r="130" spans="1:14" x14ac:dyDescent="0.25">
      <c r="A130" s="1" t="s">
        <v>310</v>
      </c>
      <c r="B130" s="1" t="s">
        <v>311</v>
      </c>
      <c r="C130" s="3">
        <v>42799</v>
      </c>
      <c r="D130" s="1" t="s">
        <v>14</v>
      </c>
      <c r="E130">
        <v>2021</v>
      </c>
      <c r="F130" s="1" t="s">
        <v>35</v>
      </c>
      <c r="G130" s="1" t="s">
        <v>16</v>
      </c>
      <c r="H130" s="1" t="s">
        <v>17</v>
      </c>
      <c r="I130" s="1" t="s">
        <v>18</v>
      </c>
      <c r="J130" s="1" t="s">
        <v>69</v>
      </c>
      <c r="K130">
        <v>2288</v>
      </c>
      <c r="L130" s="1" t="s">
        <v>44</v>
      </c>
      <c r="M130" s="1" t="s">
        <v>21</v>
      </c>
      <c r="N130" s="2">
        <v>44755</v>
      </c>
    </row>
    <row r="131" spans="1:14" x14ac:dyDescent="0.25">
      <c r="A131" s="1" t="s">
        <v>312</v>
      </c>
      <c r="B131" s="1" t="s">
        <v>313</v>
      </c>
      <c r="C131" s="3">
        <v>15387</v>
      </c>
      <c r="D131" s="1" t="s">
        <v>14</v>
      </c>
      <c r="E131">
        <v>2018</v>
      </c>
      <c r="F131" s="1" t="s">
        <v>55</v>
      </c>
      <c r="G131" s="1" t="s">
        <v>41</v>
      </c>
      <c r="H131" s="1" t="s">
        <v>17</v>
      </c>
      <c r="I131" s="1" t="s">
        <v>18</v>
      </c>
      <c r="J131" s="1" t="s">
        <v>132</v>
      </c>
      <c r="K131">
        <v>110431</v>
      </c>
      <c r="L131" s="1" t="s">
        <v>52</v>
      </c>
      <c r="M131" s="1" t="s">
        <v>21</v>
      </c>
      <c r="N131" s="2">
        <v>44755</v>
      </c>
    </row>
    <row r="132" spans="1:14" x14ac:dyDescent="0.25">
      <c r="A132" s="1" t="s">
        <v>314</v>
      </c>
      <c r="B132" s="1" t="s">
        <v>315</v>
      </c>
      <c r="C132" s="3">
        <v>74995</v>
      </c>
      <c r="D132" s="1" t="s">
        <v>14</v>
      </c>
      <c r="E132">
        <v>2019</v>
      </c>
      <c r="F132" s="1" t="s">
        <v>29</v>
      </c>
      <c r="G132" s="1" t="s">
        <v>25</v>
      </c>
      <c r="H132" s="1" t="s">
        <v>160</v>
      </c>
      <c r="I132" s="1" t="s">
        <v>18</v>
      </c>
      <c r="J132" s="1" t="s">
        <v>249</v>
      </c>
      <c r="K132">
        <v>31186</v>
      </c>
      <c r="L132" s="1" t="s">
        <v>20</v>
      </c>
      <c r="M132" s="1" t="s">
        <v>21</v>
      </c>
      <c r="N132" s="2">
        <v>44755</v>
      </c>
    </row>
    <row r="133" spans="1:14" x14ac:dyDescent="0.25">
      <c r="A133" s="1" t="s">
        <v>316</v>
      </c>
      <c r="B133" s="1" t="s">
        <v>226</v>
      </c>
      <c r="C133" s="3">
        <v>43950</v>
      </c>
      <c r="D133" s="1" t="s">
        <v>14</v>
      </c>
      <c r="E133">
        <v>2019</v>
      </c>
      <c r="F133" s="1" t="s">
        <v>187</v>
      </c>
      <c r="G133" s="1" t="s">
        <v>50</v>
      </c>
      <c r="H133" s="1" t="s">
        <v>17</v>
      </c>
      <c r="I133" s="1" t="s">
        <v>18</v>
      </c>
      <c r="J133" s="1" t="s">
        <v>317</v>
      </c>
      <c r="K133">
        <v>9904</v>
      </c>
      <c r="L133" s="1" t="s">
        <v>44</v>
      </c>
      <c r="M133" s="1" t="s">
        <v>21</v>
      </c>
      <c r="N133" s="2">
        <v>44755</v>
      </c>
    </row>
    <row r="134" spans="1:14" x14ac:dyDescent="0.25">
      <c r="A134" s="1" t="s">
        <v>318</v>
      </c>
      <c r="B134" s="1" t="s">
        <v>319</v>
      </c>
      <c r="C134" s="3">
        <v>32900</v>
      </c>
      <c r="D134" s="1" t="s">
        <v>14</v>
      </c>
      <c r="E134">
        <v>2016</v>
      </c>
      <c r="F134" s="1" t="s">
        <v>174</v>
      </c>
      <c r="G134" s="1" t="s">
        <v>25</v>
      </c>
      <c r="H134" s="1" t="s">
        <v>17</v>
      </c>
      <c r="I134" s="1" t="s">
        <v>18</v>
      </c>
      <c r="J134" s="1" t="s">
        <v>137</v>
      </c>
      <c r="K134">
        <v>83045</v>
      </c>
      <c r="L134" s="1" t="s">
        <v>37</v>
      </c>
      <c r="M134" s="1" t="s">
        <v>21</v>
      </c>
      <c r="N134" s="2">
        <v>44755</v>
      </c>
    </row>
    <row r="135" spans="1:14" x14ac:dyDescent="0.25">
      <c r="A135" s="1" t="s">
        <v>167</v>
      </c>
      <c r="B135" s="1" t="s">
        <v>168</v>
      </c>
      <c r="C135" s="3">
        <v>40988</v>
      </c>
      <c r="D135" s="1" t="s">
        <v>14</v>
      </c>
      <c r="E135">
        <v>2019</v>
      </c>
      <c r="F135" s="1" t="s">
        <v>24</v>
      </c>
      <c r="G135" s="1" t="s">
        <v>16</v>
      </c>
      <c r="H135" s="1" t="s">
        <v>17</v>
      </c>
      <c r="I135" s="1" t="s">
        <v>18</v>
      </c>
      <c r="J135" s="1" t="s">
        <v>46</v>
      </c>
      <c r="K135">
        <v>32297</v>
      </c>
      <c r="L135" s="1" t="s">
        <v>20</v>
      </c>
      <c r="M135" s="1" t="s">
        <v>21</v>
      </c>
      <c r="N135" s="2">
        <v>44755</v>
      </c>
    </row>
    <row r="136" spans="1:14" x14ac:dyDescent="0.25">
      <c r="A136" s="1" t="s">
        <v>320</v>
      </c>
      <c r="B136" s="1" t="s">
        <v>321</v>
      </c>
      <c r="C136" s="3">
        <v>26990</v>
      </c>
      <c r="D136" s="1" t="s">
        <v>14</v>
      </c>
      <c r="E136">
        <v>2019</v>
      </c>
      <c r="F136" s="1" t="s">
        <v>15</v>
      </c>
      <c r="G136" s="1" t="s">
        <v>16</v>
      </c>
      <c r="H136" s="1" t="s">
        <v>17</v>
      </c>
      <c r="I136" s="1" t="s">
        <v>18</v>
      </c>
      <c r="J136" s="1" t="s">
        <v>32</v>
      </c>
      <c r="K136">
        <v>28219</v>
      </c>
      <c r="L136" s="1" t="s">
        <v>20</v>
      </c>
      <c r="M136" s="1" t="s">
        <v>21</v>
      </c>
      <c r="N136" s="2">
        <v>44755</v>
      </c>
    </row>
    <row r="137" spans="1:14" x14ac:dyDescent="0.25">
      <c r="A137" s="1" t="s">
        <v>322</v>
      </c>
      <c r="B137" s="1" t="s">
        <v>323</v>
      </c>
      <c r="C137" s="3">
        <v>30894</v>
      </c>
      <c r="D137" s="1" t="s">
        <v>14</v>
      </c>
      <c r="E137">
        <v>2020</v>
      </c>
      <c r="F137" s="1" t="s">
        <v>221</v>
      </c>
      <c r="G137" s="1" t="s">
        <v>16</v>
      </c>
      <c r="H137" s="1" t="s">
        <v>17</v>
      </c>
      <c r="I137" s="1" t="s">
        <v>18</v>
      </c>
      <c r="J137" s="1" t="s">
        <v>69</v>
      </c>
      <c r="K137">
        <v>50168</v>
      </c>
      <c r="L137" s="1" t="s">
        <v>44</v>
      </c>
      <c r="M137" s="1" t="s">
        <v>21</v>
      </c>
      <c r="N137" s="2">
        <v>44755</v>
      </c>
    </row>
    <row r="138" spans="1:14" x14ac:dyDescent="0.25">
      <c r="A138" s="1" t="s">
        <v>324</v>
      </c>
      <c r="B138" s="1" t="s">
        <v>23</v>
      </c>
      <c r="C138" s="3">
        <v>25998</v>
      </c>
      <c r="D138" s="1" t="s">
        <v>14</v>
      </c>
      <c r="E138">
        <v>2016</v>
      </c>
      <c r="F138" s="1" t="s">
        <v>24</v>
      </c>
      <c r="G138" s="1" t="s">
        <v>25</v>
      </c>
      <c r="H138" s="1" t="s">
        <v>17</v>
      </c>
      <c r="I138" s="1" t="s">
        <v>18</v>
      </c>
      <c r="J138" s="1" t="s">
        <v>267</v>
      </c>
      <c r="K138">
        <v>121883</v>
      </c>
      <c r="L138" s="1" t="s">
        <v>37</v>
      </c>
      <c r="M138" s="1" t="s">
        <v>21</v>
      </c>
      <c r="N138" s="2">
        <v>44755</v>
      </c>
    </row>
    <row r="139" spans="1:14" x14ac:dyDescent="0.25">
      <c r="A139" s="1" t="s">
        <v>325</v>
      </c>
      <c r="B139" s="1" t="s">
        <v>326</v>
      </c>
      <c r="C139" s="3">
        <v>35989</v>
      </c>
      <c r="D139" s="1" t="s">
        <v>14</v>
      </c>
      <c r="E139">
        <v>2017</v>
      </c>
      <c r="F139" s="1" t="s">
        <v>221</v>
      </c>
      <c r="G139" s="1" t="s">
        <v>16</v>
      </c>
      <c r="H139" s="1" t="s">
        <v>17</v>
      </c>
      <c r="I139" s="1" t="s">
        <v>18</v>
      </c>
      <c r="J139" s="1" t="s">
        <v>230</v>
      </c>
      <c r="K139">
        <v>69555</v>
      </c>
      <c r="L139" s="1" t="s">
        <v>20</v>
      </c>
      <c r="M139" s="1" t="s">
        <v>21</v>
      </c>
      <c r="N139" s="2">
        <v>44755</v>
      </c>
    </row>
    <row r="140" spans="1:14" x14ac:dyDescent="0.25">
      <c r="A140" s="1" t="s">
        <v>327</v>
      </c>
      <c r="B140" s="1" t="s">
        <v>328</v>
      </c>
      <c r="C140" s="3">
        <v>41888</v>
      </c>
      <c r="D140" s="1" t="s">
        <v>14</v>
      </c>
      <c r="E140">
        <v>2018</v>
      </c>
      <c r="F140" s="1" t="s">
        <v>329</v>
      </c>
      <c r="G140" s="1" t="s">
        <v>16</v>
      </c>
      <c r="H140" s="1" t="s">
        <v>17</v>
      </c>
      <c r="I140" s="1" t="s">
        <v>18</v>
      </c>
      <c r="J140" s="1" t="s">
        <v>148</v>
      </c>
      <c r="K140">
        <v>25285</v>
      </c>
      <c r="L140" s="1" t="s">
        <v>20</v>
      </c>
      <c r="M140" s="1" t="s">
        <v>21</v>
      </c>
      <c r="N140" s="2">
        <v>44755</v>
      </c>
    </row>
    <row r="141" spans="1:14" x14ac:dyDescent="0.25">
      <c r="A141" s="1" t="s">
        <v>330</v>
      </c>
      <c r="B141" s="1" t="s">
        <v>23</v>
      </c>
      <c r="C141" s="3">
        <v>39989</v>
      </c>
      <c r="D141" s="1" t="s">
        <v>14</v>
      </c>
      <c r="E141">
        <v>2020</v>
      </c>
      <c r="F141" s="1" t="s">
        <v>24</v>
      </c>
      <c r="G141" s="1" t="s">
        <v>25</v>
      </c>
      <c r="H141" s="1" t="s">
        <v>17</v>
      </c>
      <c r="I141" s="1" t="s">
        <v>18</v>
      </c>
      <c r="J141" s="1" t="s">
        <v>331</v>
      </c>
      <c r="K141">
        <v>59260</v>
      </c>
      <c r="L141" s="1" t="s">
        <v>37</v>
      </c>
      <c r="M141" s="1" t="s">
        <v>21</v>
      </c>
      <c r="N141" s="2">
        <v>44755</v>
      </c>
    </row>
    <row r="142" spans="1:14" x14ac:dyDescent="0.25">
      <c r="A142" s="1" t="s">
        <v>332</v>
      </c>
      <c r="B142" s="1" t="s">
        <v>333</v>
      </c>
      <c r="C142" s="3">
        <v>15638</v>
      </c>
      <c r="D142" s="1" t="s">
        <v>14</v>
      </c>
      <c r="E142">
        <v>2013</v>
      </c>
      <c r="F142" s="1" t="s">
        <v>76</v>
      </c>
      <c r="G142" s="1" t="s">
        <v>41</v>
      </c>
      <c r="H142" s="1" t="s">
        <v>17</v>
      </c>
      <c r="I142" s="1" t="s">
        <v>18</v>
      </c>
      <c r="J142" s="1" t="s">
        <v>69</v>
      </c>
      <c r="K142">
        <v>87962</v>
      </c>
      <c r="L142" s="1" t="s">
        <v>52</v>
      </c>
      <c r="M142" s="1" t="s">
        <v>21</v>
      </c>
      <c r="N142" s="2">
        <v>44755</v>
      </c>
    </row>
    <row r="143" spans="1:14" x14ac:dyDescent="0.25">
      <c r="A143" s="1" t="s">
        <v>334</v>
      </c>
      <c r="B143" s="1" t="s">
        <v>159</v>
      </c>
      <c r="C143" s="3">
        <v>29000</v>
      </c>
      <c r="D143" s="1" t="s">
        <v>14</v>
      </c>
      <c r="E143">
        <v>2011</v>
      </c>
      <c r="F143" s="1" t="s">
        <v>24</v>
      </c>
      <c r="G143" s="1" t="s">
        <v>25</v>
      </c>
      <c r="H143" s="1" t="s">
        <v>160</v>
      </c>
      <c r="I143" s="1" t="s">
        <v>18</v>
      </c>
      <c r="J143" s="1" t="s">
        <v>161</v>
      </c>
      <c r="K143">
        <v>108759</v>
      </c>
      <c r="L143" s="1" t="s">
        <v>20</v>
      </c>
      <c r="M143" s="1" t="s">
        <v>21</v>
      </c>
      <c r="N143" s="2">
        <v>44755</v>
      </c>
    </row>
    <row r="144" spans="1:14" x14ac:dyDescent="0.25">
      <c r="A144" s="1" t="s">
        <v>335</v>
      </c>
      <c r="B144" s="1" t="s">
        <v>336</v>
      </c>
      <c r="C144" s="3">
        <v>41998</v>
      </c>
      <c r="D144" s="1" t="s">
        <v>14</v>
      </c>
      <c r="E144">
        <v>2019</v>
      </c>
      <c r="F144" s="1" t="s">
        <v>221</v>
      </c>
      <c r="G144" s="1" t="s">
        <v>290</v>
      </c>
      <c r="H144" s="1" t="s">
        <v>17</v>
      </c>
      <c r="I144" s="1" t="s">
        <v>18</v>
      </c>
      <c r="J144" s="1" t="s">
        <v>155</v>
      </c>
      <c r="K144">
        <v>39768</v>
      </c>
      <c r="L144" s="1" t="s">
        <v>44</v>
      </c>
      <c r="M144" s="1" t="s">
        <v>21</v>
      </c>
      <c r="N144" s="2">
        <v>44755</v>
      </c>
    </row>
    <row r="145" spans="1:14" x14ac:dyDescent="0.25">
      <c r="A145" s="1" t="s">
        <v>337</v>
      </c>
      <c r="B145" s="1" t="s">
        <v>103</v>
      </c>
      <c r="C145" s="3">
        <v>71115</v>
      </c>
      <c r="D145" s="1" t="s">
        <v>14</v>
      </c>
      <c r="E145">
        <v>2018</v>
      </c>
      <c r="F145" s="1" t="s">
        <v>55</v>
      </c>
      <c r="G145" s="1" t="s">
        <v>25</v>
      </c>
      <c r="H145" s="1" t="s">
        <v>160</v>
      </c>
      <c r="I145" s="1" t="s">
        <v>18</v>
      </c>
      <c r="J145" s="1" t="s">
        <v>166</v>
      </c>
      <c r="K145">
        <v>48026</v>
      </c>
      <c r="L145" s="1" t="s">
        <v>20</v>
      </c>
      <c r="M145" s="1" t="s">
        <v>21</v>
      </c>
      <c r="N145" s="2">
        <v>44755</v>
      </c>
    </row>
    <row r="146" spans="1:14" x14ac:dyDescent="0.25">
      <c r="A146" s="1" t="s">
        <v>338</v>
      </c>
      <c r="B146" s="1" t="s">
        <v>54</v>
      </c>
      <c r="C146" s="3">
        <v>19990</v>
      </c>
      <c r="D146" s="1" t="s">
        <v>14</v>
      </c>
      <c r="E146">
        <v>2015</v>
      </c>
      <c r="F146" s="1" t="s">
        <v>55</v>
      </c>
      <c r="G146" s="1" t="s">
        <v>16</v>
      </c>
      <c r="H146" s="1" t="s">
        <v>17</v>
      </c>
      <c r="I146" s="1" t="s">
        <v>18</v>
      </c>
      <c r="J146" s="1" t="s">
        <v>32</v>
      </c>
      <c r="K146">
        <v>36174</v>
      </c>
      <c r="L146" s="1" t="s">
        <v>52</v>
      </c>
      <c r="M146" s="1" t="s">
        <v>21</v>
      </c>
      <c r="N146" s="2">
        <v>44755</v>
      </c>
    </row>
    <row r="147" spans="1:14" x14ac:dyDescent="0.25">
      <c r="A147" s="1" t="s">
        <v>339</v>
      </c>
      <c r="B147" s="1" t="s">
        <v>340</v>
      </c>
      <c r="C147" s="3">
        <v>23500</v>
      </c>
      <c r="D147" s="1" t="s">
        <v>14</v>
      </c>
      <c r="E147">
        <v>2020</v>
      </c>
      <c r="F147" s="1" t="s">
        <v>35</v>
      </c>
      <c r="G147" s="1" t="s">
        <v>41</v>
      </c>
      <c r="H147" s="1" t="s">
        <v>17</v>
      </c>
      <c r="I147" s="1" t="s">
        <v>18</v>
      </c>
      <c r="J147" s="1" t="s">
        <v>341</v>
      </c>
      <c r="K147">
        <v>56523</v>
      </c>
      <c r="L147" s="1" t="s">
        <v>52</v>
      </c>
      <c r="M147" s="1" t="s">
        <v>21</v>
      </c>
      <c r="N147" s="2">
        <v>44755</v>
      </c>
    </row>
    <row r="148" spans="1:14" x14ac:dyDescent="0.25">
      <c r="A148" s="1" t="s">
        <v>211</v>
      </c>
      <c r="B148" s="1" t="s">
        <v>212</v>
      </c>
      <c r="C148" s="3">
        <v>23490</v>
      </c>
      <c r="D148" s="1" t="s">
        <v>14</v>
      </c>
      <c r="E148">
        <v>2019</v>
      </c>
      <c r="F148" s="1" t="s">
        <v>79</v>
      </c>
      <c r="G148" s="1" t="s">
        <v>68</v>
      </c>
      <c r="H148" s="1" t="s">
        <v>17</v>
      </c>
      <c r="I148" s="1" t="s">
        <v>18</v>
      </c>
      <c r="J148" s="1" t="s">
        <v>19</v>
      </c>
      <c r="K148">
        <v>73764</v>
      </c>
      <c r="L148" s="1" t="s">
        <v>52</v>
      </c>
      <c r="M148" s="1" t="s">
        <v>21</v>
      </c>
      <c r="N148" s="2">
        <v>44755</v>
      </c>
    </row>
    <row r="149" spans="1:14" x14ac:dyDescent="0.25">
      <c r="A149" s="1" t="s">
        <v>342</v>
      </c>
      <c r="B149" s="1" t="s">
        <v>343</v>
      </c>
      <c r="C149" s="3">
        <v>44988</v>
      </c>
      <c r="D149" s="1" t="s">
        <v>14</v>
      </c>
      <c r="E149">
        <v>2020</v>
      </c>
      <c r="F149" s="1" t="s">
        <v>283</v>
      </c>
      <c r="G149" s="1" t="s">
        <v>16</v>
      </c>
      <c r="H149" s="1" t="s">
        <v>17</v>
      </c>
      <c r="I149" s="1" t="s">
        <v>18</v>
      </c>
      <c r="J149" s="1" t="s">
        <v>189</v>
      </c>
      <c r="K149">
        <v>13721</v>
      </c>
      <c r="L149" s="1" t="s">
        <v>44</v>
      </c>
      <c r="M149" s="1" t="s">
        <v>21</v>
      </c>
      <c r="N149" s="2">
        <v>44755</v>
      </c>
    </row>
    <row r="150" spans="1:14" x14ac:dyDescent="0.25">
      <c r="A150" s="1" t="s">
        <v>344</v>
      </c>
      <c r="B150" s="1" t="s">
        <v>345</v>
      </c>
      <c r="C150" s="3">
        <v>37991</v>
      </c>
      <c r="D150" s="1" t="s">
        <v>14</v>
      </c>
      <c r="E150">
        <v>2020</v>
      </c>
      <c r="F150" s="1" t="s">
        <v>119</v>
      </c>
      <c r="G150" s="1" t="s">
        <v>16</v>
      </c>
      <c r="H150" s="1" t="s">
        <v>17</v>
      </c>
      <c r="I150" s="1" t="s">
        <v>18</v>
      </c>
      <c r="J150" s="1" t="s">
        <v>346</v>
      </c>
      <c r="K150">
        <v>61256</v>
      </c>
      <c r="L150" s="1" t="s">
        <v>52</v>
      </c>
      <c r="M150" s="1" t="s">
        <v>21</v>
      </c>
      <c r="N150" s="2">
        <v>44755</v>
      </c>
    </row>
    <row r="151" spans="1:14" x14ac:dyDescent="0.25">
      <c r="A151" s="1" t="s">
        <v>347</v>
      </c>
      <c r="B151" s="1" t="s">
        <v>348</v>
      </c>
      <c r="C151" s="3">
        <v>29981</v>
      </c>
      <c r="D151" s="1" t="s">
        <v>14</v>
      </c>
      <c r="E151">
        <v>2013</v>
      </c>
      <c r="F151" s="1" t="s">
        <v>55</v>
      </c>
      <c r="G151" s="1" t="s">
        <v>63</v>
      </c>
      <c r="H151" s="1" t="s">
        <v>17</v>
      </c>
      <c r="I151" s="1" t="s">
        <v>18</v>
      </c>
      <c r="J151" s="1" t="s">
        <v>26</v>
      </c>
      <c r="K151">
        <v>56069</v>
      </c>
      <c r="L151" s="1" t="s">
        <v>37</v>
      </c>
      <c r="M151" s="1" t="s">
        <v>21</v>
      </c>
      <c r="N151" s="2">
        <v>44755</v>
      </c>
    </row>
    <row r="152" spans="1:14" x14ac:dyDescent="0.25">
      <c r="A152" s="1" t="s">
        <v>349</v>
      </c>
      <c r="B152" s="1" t="s">
        <v>256</v>
      </c>
      <c r="C152" s="3">
        <v>24699</v>
      </c>
      <c r="D152" s="1" t="s">
        <v>14</v>
      </c>
      <c r="E152">
        <v>2019</v>
      </c>
      <c r="F152" s="1" t="s">
        <v>95</v>
      </c>
      <c r="G152" s="1" t="s">
        <v>41</v>
      </c>
      <c r="H152" s="1" t="s">
        <v>17</v>
      </c>
      <c r="I152" s="1" t="s">
        <v>18</v>
      </c>
      <c r="J152" s="1" t="s">
        <v>73</v>
      </c>
      <c r="K152">
        <v>33857</v>
      </c>
      <c r="L152" s="1" t="s">
        <v>52</v>
      </c>
      <c r="M152" s="1" t="s">
        <v>21</v>
      </c>
      <c r="N152" s="2">
        <v>44755</v>
      </c>
    </row>
    <row r="153" spans="1:14" x14ac:dyDescent="0.25">
      <c r="A153" s="1" t="s">
        <v>350</v>
      </c>
      <c r="B153" s="1" t="s">
        <v>351</v>
      </c>
      <c r="C153" s="3">
        <v>51998</v>
      </c>
      <c r="D153" s="1" t="s">
        <v>14</v>
      </c>
      <c r="E153">
        <v>2022</v>
      </c>
      <c r="F153" s="1" t="s">
        <v>55</v>
      </c>
      <c r="G153" s="1" t="s">
        <v>25</v>
      </c>
      <c r="H153" s="1" t="s">
        <v>17</v>
      </c>
      <c r="I153" s="1" t="s">
        <v>18</v>
      </c>
      <c r="J153" s="1" t="s">
        <v>352</v>
      </c>
      <c r="K153">
        <v>3921</v>
      </c>
      <c r="L153" s="1" t="s">
        <v>20</v>
      </c>
      <c r="M153" s="1" t="s">
        <v>21</v>
      </c>
      <c r="N153" s="2">
        <v>44755</v>
      </c>
    </row>
    <row r="154" spans="1:14" x14ac:dyDescent="0.25">
      <c r="A154" s="1" t="s">
        <v>353</v>
      </c>
      <c r="B154" s="1" t="s">
        <v>354</v>
      </c>
      <c r="C154" s="3">
        <v>25127</v>
      </c>
      <c r="D154" s="1" t="s">
        <v>14</v>
      </c>
      <c r="E154">
        <v>2020</v>
      </c>
      <c r="F154" s="1" t="s">
        <v>72</v>
      </c>
      <c r="G154" s="1" t="s">
        <v>16</v>
      </c>
      <c r="H154" s="1" t="s">
        <v>17</v>
      </c>
      <c r="I154" s="1" t="s">
        <v>18</v>
      </c>
      <c r="J154" s="1" t="s">
        <v>73</v>
      </c>
      <c r="K154">
        <v>17460</v>
      </c>
      <c r="L154" s="1" t="s">
        <v>52</v>
      </c>
      <c r="M154" s="1" t="s">
        <v>21</v>
      </c>
      <c r="N154" s="2">
        <v>44755</v>
      </c>
    </row>
    <row r="155" spans="1:14" x14ac:dyDescent="0.25">
      <c r="A155" s="1" t="s">
        <v>355</v>
      </c>
      <c r="B155" s="1" t="s">
        <v>238</v>
      </c>
      <c r="C155" s="3">
        <v>14998</v>
      </c>
      <c r="D155" s="1" t="s">
        <v>14</v>
      </c>
      <c r="E155">
        <v>2014</v>
      </c>
      <c r="F155" s="1" t="s">
        <v>187</v>
      </c>
      <c r="G155" s="1" t="s">
        <v>41</v>
      </c>
      <c r="H155" s="1" t="s">
        <v>356</v>
      </c>
      <c r="I155" s="1" t="s">
        <v>18</v>
      </c>
      <c r="J155" s="1" t="s">
        <v>357</v>
      </c>
      <c r="K155">
        <v>123590</v>
      </c>
      <c r="L155" s="1" t="s">
        <v>52</v>
      </c>
      <c r="M155" s="1" t="s">
        <v>21</v>
      </c>
      <c r="N155" s="2">
        <v>44755</v>
      </c>
    </row>
    <row r="156" spans="1:14" x14ac:dyDescent="0.25">
      <c r="A156" s="1" t="s">
        <v>358</v>
      </c>
      <c r="B156" s="1" t="s">
        <v>248</v>
      </c>
      <c r="C156" s="3">
        <v>44212</v>
      </c>
      <c r="D156" s="1" t="s">
        <v>14</v>
      </c>
      <c r="E156">
        <v>2016</v>
      </c>
      <c r="F156" s="1" t="s">
        <v>29</v>
      </c>
      <c r="G156" s="1" t="s">
        <v>25</v>
      </c>
      <c r="H156" s="1" t="s">
        <v>160</v>
      </c>
      <c r="I156" s="1" t="s">
        <v>18</v>
      </c>
      <c r="J156" s="1" t="s">
        <v>249</v>
      </c>
      <c r="K156">
        <v>165888</v>
      </c>
      <c r="L156" s="1" t="s">
        <v>20</v>
      </c>
      <c r="M156" s="1" t="s">
        <v>21</v>
      </c>
      <c r="N156" s="2">
        <v>44755</v>
      </c>
    </row>
    <row r="157" spans="1:14" x14ac:dyDescent="0.25">
      <c r="A157" s="1" t="s">
        <v>359</v>
      </c>
      <c r="B157" s="1" t="s">
        <v>360</v>
      </c>
      <c r="C157" s="3">
        <v>113597</v>
      </c>
      <c r="D157" s="1" t="s">
        <v>14</v>
      </c>
      <c r="E157">
        <v>2021</v>
      </c>
      <c r="F157" s="1" t="s">
        <v>59</v>
      </c>
      <c r="G157" s="1" t="s">
        <v>16</v>
      </c>
      <c r="H157" s="1" t="s">
        <v>17</v>
      </c>
      <c r="I157" s="1" t="s">
        <v>18</v>
      </c>
      <c r="J157" s="1" t="s">
        <v>361</v>
      </c>
      <c r="K157">
        <v>4756</v>
      </c>
      <c r="L157" s="1" t="s">
        <v>20</v>
      </c>
      <c r="M157" s="1" t="s">
        <v>21</v>
      </c>
      <c r="N157" s="2">
        <v>44755</v>
      </c>
    </row>
    <row r="158" spans="1:14" x14ac:dyDescent="0.25">
      <c r="A158" s="1" t="s">
        <v>362</v>
      </c>
      <c r="B158" s="1" t="s">
        <v>144</v>
      </c>
      <c r="C158" s="3">
        <v>29899</v>
      </c>
      <c r="D158" s="1" t="s">
        <v>14</v>
      </c>
      <c r="E158">
        <v>2017</v>
      </c>
      <c r="F158" s="1" t="s">
        <v>95</v>
      </c>
      <c r="G158" s="1" t="s">
        <v>16</v>
      </c>
      <c r="H158" s="1" t="s">
        <v>17</v>
      </c>
      <c r="I158" s="1" t="s">
        <v>18</v>
      </c>
      <c r="J158" s="1" t="s">
        <v>69</v>
      </c>
      <c r="K158">
        <v>56114</v>
      </c>
      <c r="L158" s="1" t="s">
        <v>52</v>
      </c>
      <c r="M158" s="1" t="s">
        <v>21</v>
      </c>
      <c r="N158" s="2">
        <v>44755</v>
      </c>
    </row>
    <row r="159" spans="1:14" x14ac:dyDescent="0.25">
      <c r="A159" s="1" t="s">
        <v>363</v>
      </c>
      <c r="B159" s="1" t="s">
        <v>364</v>
      </c>
      <c r="C159" s="3">
        <v>35888</v>
      </c>
      <c r="D159" s="1" t="s">
        <v>14</v>
      </c>
      <c r="E159">
        <v>2019</v>
      </c>
      <c r="F159" s="1" t="s">
        <v>298</v>
      </c>
      <c r="G159" s="1" t="s">
        <v>16</v>
      </c>
      <c r="H159" s="1" t="s">
        <v>17</v>
      </c>
      <c r="I159" s="1" t="s">
        <v>18</v>
      </c>
      <c r="J159" s="1" t="s">
        <v>299</v>
      </c>
      <c r="K159">
        <v>28763</v>
      </c>
      <c r="L159" s="1" t="s">
        <v>44</v>
      </c>
      <c r="M159" s="1" t="s">
        <v>21</v>
      </c>
      <c r="N159" s="2">
        <v>44755</v>
      </c>
    </row>
    <row r="160" spans="1:14" x14ac:dyDescent="0.25">
      <c r="A160" s="1" t="s">
        <v>365</v>
      </c>
      <c r="B160" s="1" t="s">
        <v>107</v>
      </c>
      <c r="C160" s="3">
        <v>25800</v>
      </c>
      <c r="D160" s="1" t="s">
        <v>14</v>
      </c>
      <c r="E160">
        <v>2020</v>
      </c>
      <c r="F160" s="1" t="s">
        <v>35</v>
      </c>
      <c r="G160" s="1" t="s">
        <v>41</v>
      </c>
      <c r="H160" s="1" t="s">
        <v>17</v>
      </c>
      <c r="I160" s="1" t="s">
        <v>18</v>
      </c>
      <c r="J160" s="1" t="s">
        <v>92</v>
      </c>
      <c r="K160">
        <v>10879</v>
      </c>
      <c r="L160" s="1" t="s">
        <v>52</v>
      </c>
      <c r="M160" s="1" t="s">
        <v>21</v>
      </c>
      <c r="N160" s="2">
        <v>44755</v>
      </c>
    </row>
    <row r="161" spans="1:14" x14ac:dyDescent="0.25">
      <c r="A161" s="1" t="s">
        <v>339</v>
      </c>
      <c r="B161" s="1" t="s">
        <v>340</v>
      </c>
      <c r="C161" s="3">
        <v>21495</v>
      </c>
      <c r="D161" s="1" t="s">
        <v>14</v>
      </c>
      <c r="E161">
        <v>2020</v>
      </c>
      <c r="F161" s="1" t="s">
        <v>35</v>
      </c>
      <c r="G161" s="1" t="s">
        <v>41</v>
      </c>
      <c r="H161" s="1" t="s">
        <v>17</v>
      </c>
      <c r="I161" s="1" t="s">
        <v>18</v>
      </c>
      <c r="J161" s="1" t="s">
        <v>341</v>
      </c>
      <c r="K161">
        <v>50466</v>
      </c>
      <c r="L161" s="1" t="s">
        <v>52</v>
      </c>
      <c r="M161" s="1" t="s">
        <v>21</v>
      </c>
      <c r="N161" s="2">
        <v>44755</v>
      </c>
    </row>
    <row r="162" spans="1:14" x14ac:dyDescent="0.25">
      <c r="A162" s="1" t="s">
        <v>366</v>
      </c>
      <c r="B162" s="1" t="s">
        <v>354</v>
      </c>
      <c r="C162" s="3">
        <v>18985</v>
      </c>
      <c r="D162" s="1" t="s">
        <v>14</v>
      </c>
      <c r="E162">
        <v>2019</v>
      </c>
      <c r="F162" s="1" t="s">
        <v>72</v>
      </c>
      <c r="G162" s="1" t="s">
        <v>16</v>
      </c>
      <c r="H162" s="1" t="s">
        <v>17</v>
      </c>
      <c r="I162" s="1" t="s">
        <v>18</v>
      </c>
      <c r="J162" s="1" t="s">
        <v>73</v>
      </c>
      <c r="K162">
        <v>65827</v>
      </c>
      <c r="L162" s="1" t="s">
        <v>52</v>
      </c>
      <c r="M162" s="1" t="s">
        <v>21</v>
      </c>
      <c r="N162" s="2">
        <v>44755</v>
      </c>
    </row>
    <row r="163" spans="1:14" x14ac:dyDescent="0.25">
      <c r="A163" s="1" t="s">
        <v>367</v>
      </c>
      <c r="B163" s="1" t="s">
        <v>368</v>
      </c>
      <c r="C163" s="3">
        <v>42755</v>
      </c>
      <c r="D163" s="1" t="s">
        <v>14</v>
      </c>
      <c r="E163">
        <v>2022</v>
      </c>
      <c r="F163" s="1" t="s">
        <v>154</v>
      </c>
      <c r="G163" s="1" t="s">
        <v>16</v>
      </c>
      <c r="H163" s="1" t="s">
        <v>17</v>
      </c>
      <c r="I163" s="1" t="s">
        <v>18</v>
      </c>
      <c r="J163" s="1" t="s">
        <v>51</v>
      </c>
      <c r="K163">
        <v>5</v>
      </c>
      <c r="L163" s="1" t="s">
        <v>52</v>
      </c>
      <c r="M163" s="1" t="s">
        <v>21</v>
      </c>
      <c r="N163" s="2">
        <v>44755</v>
      </c>
    </row>
    <row r="164" spans="1:14" x14ac:dyDescent="0.25">
      <c r="A164" s="1" t="s">
        <v>369</v>
      </c>
      <c r="B164" s="1" t="s">
        <v>319</v>
      </c>
      <c r="C164" s="3">
        <v>48997</v>
      </c>
      <c r="D164" s="1" t="s">
        <v>14</v>
      </c>
      <c r="E164">
        <v>2020</v>
      </c>
      <c r="F164" s="1" t="s">
        <v>174</v>
      </c>
      <c r="G164" s="1" t="s">
        <v>25</v>
      </c>
      <c r="H164" s="1" t="s">
        <v>17</v>
      </c>
      <c r="I164" s="1" t="s">
        <v>18</v>
      </c>
      <c r="J164" s="1" t="s">
        <v>352</v>
      </c>
      <c r="K164">
        <v>17538</v>
      </c>
      <c r="L164" s="1" t="s">
        <v>20</v>
      </c>
      <c r="M164" s="1" t="s">
        <v>21</v>
      </c>
      <c r="N164" s="2">
        <v>44755</v>
      </c>
    </row>
    <row r="165" spans="1:14" x14ac:dyDescent="0.25">
      <c r="A165" s="1" t="s">
        <v>370</v>
      </c>
      <c r="B165" s="1" t="s">
        <v>371</v>
      </c>
      <c r="C165" s="3">
        <v>23999</v>
      </c>
      <c r="D165" s="1" t="s">
        <v>14</v>
      </c>
      <c r="E165">
        <v>2013</v>
      </c>
      <c r="F165" s="1" t="s">
        <v>154</v>
      </c>
      <c r="G165" s="1" t="s">
        <v>16</v>
      </c>
      <c r="H165" s="1" t="s">
        <v>17</v>
      </c>
      <c r="I165" s="1" t="s">
        <v>18</v>
      </c>
      <c r="J165" s="1" t="s">
        <v>372</v>
      </c>
      <c r="K165">
        <v>75901</v>
      </c>
      <c r="L165" s="1" t="s">
        <v>44</v>
      </c>
      <c r="M165" s="1" t="s">
        <v>21</v>
      </c>
      <c r="N165" s="2">
        <v>44755</v>
      </c>
    </row>
    <row r="166" spans="1:14" x14ac:dyDescent="0.25">
      <c r="A166" s="1" t="s">
        <v>373</v>
      </c>
      <c r="B166" s="1" t="s">
        <v>245</v>
      </c>
      <c r="C166" s="3">
        <v>12995</v>
      </c>
      <c r="D166" s="1" t="s">
        <v>14</v>
      </c>
      <c r="E166">
        <v>2011</v>
      </c>
      <c r="F166" s="1" t="s">
        <v>55</v>
      </c>
      <c r="G166" s="1" t="s">
        <v>25</v>
      </c>
      <c r="H166" s="1" t="s">
        <v>17</v>
      </c>
      <c r="I166" s="1" t="s">
        <v>18</v>
      </c>
      <c r="J166" s="1" t="s">
        <v>137</v>
      </c>
      <c r="K166">
        <v>152353</v>
      </c>
      <c r="L166" s="1" t="s">
        <v>37</v>
      </c>
      <c r="M166" s="1" t="s">
        <v>21</v>
      </c>
      <c r="N166" s="2">
        <v>44755</v>
      </c>
    </row>
    <row r="167" spans="1:14" x14ac:dyDescent="0.25">
      <c r="A167" s="1" t="s">
        <v>374</v>
      </c>
      <c r="B167" s="1" t="s">
        <v>91</v>
      </c>
      <c r="C167" s="3">
        <v>23990</v>
      </c>
      <c r="D167" s="1" t="s">
        <v>14</v>
      </c>
      <c r="E167">
        <v>2019</v>
      </c>
      <c r="F167" s="1" t="s">
        <v>76</v>
      </c>
      <c r="G167" s="1" t="s">
        <v>16</v>
      </c>
      <c r="H167" s="1" t="s">
        <v>17</v>
      </c>
      <c r="I167" s="1" t="s">
        <v>18</v>
      </c>
      <c r="J167" s="1" t="s">
        <v>92</v>
      </c>
      <c r="K167">
        <v>59014</v>
      </c>
      <c r="L167" s="1" t="s">
        <v>44</v>
      </c>
      <c r="M167" s="1" t="s">
        <v>21</v>
      </c>
      <c r="N167" s="2">
        <v>44755</v>
      </c>
    </row>
    <row r="168" spans="1:14" x14ac:dyDescent="0.25">
      <c r="A168" s="1" t="s">
        <v>375</v>
      </c>
      <c r="B168" s="1" t="s">
        <v>75</v>
      </c>
      <c r="C168" s="3">
        <v>30998</v>
      </c>
      <c r="D168" s="1" t="s">
        <v>14</v>
      </c>
      <c r="E168">
        <v>2018</v>
      </c>
      <c r="F168" s="1" t="s">
        <v>76</v>
      </c>
      <c r="G168" s="1" t="s">
        <v>16</v>
      </c>
      <c r="H168" s="1" t="s">
        <v>17</v>
      </c>
      <c r="I168" s="1" t="s">
        <v>18</v>
      </c>
      <c r="J168" s="1" t="s">
        <v>69</v>
      </c>
      <c r="K168">
        <v>42179</v>
      </c>
      <c r="L168" s="1" t="s">
        <v>44</v>
      </c>
      <c r="M168" s="1" t="s">
        <v>21</v>
      </c>
      <c r="N168" s="2">
        <v>44755</v>
      </c>
    </row>
    <row r="169" spans="1:14" x14ac:dyDescent="0.25">
      <c r="A169" s="1" t="s">
        <v>376</v>
      </c>
      <c r="B169" s="1" t="s">
        <v>377</v>
      </c>
      <c r="C169" s="3">
        <v>23998</v>
      </c>
      <c r="D169" s="1" t="s">
        <v>14</v>
      </c>
      <c r="E169">
        <v>2021</v>
      </c>
      <c r="F169" s="1" t="s">
        <v>110</v>
      </c>
      <c r="G169" s="1" t="s">
        <v>50</v>
      </c>
      <c r="H169" s="1" t="s">
        <v>17</v>
      </c>
      <c r="I169" s="1" t="s">
        <v>18</v>
      </c>
      <c r="J169" s="1" t="s">
        <v>378</v>
      </c>
      <c r="K169">
        <v>39567</v>
      </c>
      <c r="L169" s="1" t="s">
        <v>44</v>
      </c>
      <c r="M169" s="1" t="s">
        <v>21</v>
      </c>
      <c r="N169" s="2">
        <v>44755</v>
      </c>
    </row>
    <row r="170" spans="1:14" x14ac:dyDescent="0.25">
      <c r="A170" s="1" t="s">
        <v>270</v>
      </c>
      <c r="B170" s="1" t="s">
        <v>13</v>
      </c>
      <c r="C170" s="3">
        <v>35800</v>
      </c>
      <c r="D170" s="1" t="s">
        <v>14</v>
      </c>
      <c r="E170">
        <v>2019</v>
      </c>
      <c r="F170" s="1" t="s">
        <v>15</v>
      </c>
      <c r="G170" s="1" t="s">
        <v>16</v>
      </c>
      <c r="H170" s="1" t="s">
        <v>17</v>
      </c>
      <c r="I170" s="1" t="s">
        <v>18</v>
      </c>
      <c r="J170" s="1" t="s">
        <v>36</v>
      </c>
      <c r="K170">
        <v>29683</v>
      </c>
      <c r="L170" s="1" t="s">
        <v>20</v>
      </c>
      <c r="M170" s="1" t="s">
        <v>21</v>
      </c>
      <c r="N170" s="2">
        <v>44755</v>
      </c>
    </row>
    <row r="171" spans="1:14" x14ac:dyDescent="0.25">
      <c r="A171" s="1" t="s">
        <v>379</v>
      </c>
      <c r="B171" s="1" t="s">
        <v>380</v>
      </c>
      <c r="C171" s="3">
        <v>36495</v>
      </c>
      <c r="D171" s="1" t="s">
        <v>14</v>
      </c>
      <c r="E171">
        <v>2019</v>
      </c>
      <c r="F171" s="1" t="s">
        <v>29</v>
      </c>
      <c r="G171" s="1" t="s">
        <v>25</v>
      </c>
      <c r="H171" s="1" t="s">
        <v>17</v>
      </c>
      <c r="I171" s="1" t="s">
        <v>18</v>
      </c>
      <c r="J171" s="1" t="s">
        <v>36</v>
      </c>
      <c r="K171">
        <v>63730</v>
      </c>
      <c r="L171" s="1" t="s">
        <v>20</v>
      </c>
      <c r="M171" s="1" t="s">
        <v>21</v>
      </c>
      <c r="N171" s="2">
        <v>44755</v>
      </c>
    </row>
    <row r="172" spans="1:14" x14ac:dyDescent="0.25">
      <c r="A172" s="1" t="s">
        <v>381</v>
      </c>
      <c r="B172" s="1" t="s">
        <v>382</v>
      </c>
      <c r="C172" s="3">
        <v>15150</v>
      </c>
      <c r="D172" s="1" t="s">
        <v>14</v>
      </c>
      <c r="E172">
        <v>2011</v>
      </c>
      <c r="F172" s="1" t="s">
        <v>298</v>
      </c>
      <c r="G172" s="1" t="s">
        <v>41</v>
      </c>
      <c r="H172" s="1" t="s">
        <v>17</v>
      </c>
      <c r="I172" s="1" t="s">
        <v>18</v>
      </c>
      <c r="J172" s="1" t="s">
        <v>92</v>
      </c>
      <c r="K172">
        <v>36400</v>
      </c>
      <c r="L172" s="1" t="s">
        <v>52</v>
      </c>
      <c r="M172" s="1" t="s">
        <v>21</v>
      </c>
      <c r="N172" s="2">
        <v>44755</v>
      </c>
    </row>
    <row r="173" spans="1:14" x14ac:dyDescent="0.25">
      <c r="A173" s="1" t="s">
        <v>375</v>
      </c>
      <c r="B173" s="1" t="s">
        <v>75</v>
      </c>
      <c r="C173" s="3">
        <v>23000</v>
      </c>
      <c r="D173" s="1" t="s">
        <v>14</v>
      </c>
      <c r="E173">
        <v>2018</v>
      </c>
      <c r="F173" s="1" t="s">
        <v>76</v>
      </c>
      <c r="G173" s="1" t="s">
        <v>16</v>
      </c>
      <c r="H173" s="1" t="s">
        <v>17</v>
      </c>
      <c r="I173" s="1" t="s">
        <v>18</v>
      </c>
      <c r="J173" s="1" t="s">
        <v>69</v>
      </c>
      <c r="K173">
        <v>81529</v>
      </c>
      <c r="L173" s="1" t="s">
        <v>44</v>
      </c>
      <c r="M173" s="1" t="s">
        <v>21</v>
      </c>
      <c r="N173" s="2">
        <v>44755</v>
      </c>
    </row>
    <row r="174" spans="1:14" x14ac:dyDescent="0.25">
      <c r="A174" s="1" t="s">
        <v>383</v>
      </c>
      <c r="B174" s="1" t="s">
        <v>384</v>
      </c>
      <c r="C174" s="3">
        <v>14999</v>
      </c>
      <c r="D174" s="1" t="s">
        <v>14</v>
      </c>
      <c r="E174">
        <v>2013</v>
      </c>
      <c r="F174" s="1" t="s">
        <v>72</v>
      </c>
      <c r="G174" s="1" t="s">
        <v>41</v>
      </c>
      <c r="H174" s="1" t="s">
        <v>17</v>
      </c>
      <c r="I174" s="1" t="s">
        <v>18</v>
      </c>
      <c r="J174" s="1" t="s">
        <v>32</v>
      </c>
      <c r="K174">
        <v>80120</v>
      </c>
      <c r="L174" s="1" t="s">
        <v>52</v>
      </c>
      <c r="M174" s="1" t="s">
        <v>21</v>
      </c>
      <c r="N174" s="2">
        <v>44755</v>
      </c>
    </row>
    <row r="175" spans="1:14" x14ac:dyDescent="0.25">
      <c r="A175" s="1" t="s">
        <v>284</v>
      </c>
      <c r="B175" s="1" t="s">
        <v>285</v>
      </c>
      <c r="C175" s="3">
        <v>30995</v>
      </c>
      <c r="D175" s="1" t="s">
        <v>14</v>
      </c>
      <c r="E175">
        <v>2019</v>
      </c>
      <c r="F175" s="1" t="s">
        <v>154</v>
      </c>
      <c r="G175" s="1" t="s">
        <v>16</v>
      </c>
      <c r="H175" s="1" t="s">
        <v>17</v>
      </c>
      <c r="I175" s="1" t="s">
        <v>18</v>
      </c>
      <c r="J175" s="1" t="s">
        <v>51</v>
      </c>
      <c r="K175">
        <v>24559</v>
      </c>
      <c r="L175" s="1" t="s">
        <v>44</v>
      </c>
      <c r="M175" s="1" t="s">
        <v>21</v>
      </c>
      <c r="N175" s="2">
        <v>44755</v>
      </c>
    </row>
    <row r="176" spans="1:14" x14ac:dyDescent="0.25">
      <c r="A176" s="1" t="s">
        <v>310</v>
      </c>
      <c r="B176" s="1" t="s">
        <v>311</v>
      </c>
      <c r="C176" s="3">
        <v>45291</v>
      </c>
      <c r="D176" s="1" t="s">
        <v>14</v>
      </c>
      <c r="E176">
        <v>2021</v>
      </c>
      <c r="F176" s="1" t="s">
        <v>35</v>
      </c>
      <c r="G176" s="1" t="s">
        <v>16</v>
      </c>
      <c r="H176" s="1" t="s">
        <v>17</v>
      </c>
      <c r="I176" s="1" t="s">
        <v>18</v>
      </c>
      <c r="J176" s="1" t="s">
        <v>69</v>
      </c>
      <c r="K176">
        <v>32226</v>
      </c>
      <c r="L176" s="1" t="s">
        <v>52</v>
      </c>
      <c r="M176" s="1" t="s">
        <v>21</v>
      </c>
      <c r="N176" s="2">
        <v>44755</v>
      </c>
    </row>
    <row r="177" spans="1:14" x14ac:dyDescent="0.25">
      <c r="A177" s="1" t="s">
        <v>385</v>
      </c>
      <c r="B177" s="1" t="s">
        <v>386</v>
      </c>
      <c r="C177" s="3">
        <v>33740</v>
      </c>
      <c r="D177" s="1" t="s">
        <v>14</v>
      </c>
      <c r="E177">
        <v>2019</v>
      </c>
      <c r="F177" s="1" t="s">
        <v>283</v>
      </c>
      <c r="G177" s="1" t="s">
        <v>16</v>
      </c>
      <c r="H177" s="1" t="s">
        <v>17</v>
      </c>
      <c r="I177" s="1" t="s">
        <v>18</v>
      </c>
      <c r="J177" s="1" t="s">
        <v>51</v>
      </c>
      <c r="K177">
        <v>71708</v>
      </c>
      <c r="L177" s="1" t="s">
        <v>52</v>
      </c>
      <c r="M177" s="1" t="s">
        <v>21</v>
      </c>
      <c r="N177" s="2">
        <v>44755</v>
      </c>
    </row>
    <row r="178" spans="1:14" x14ac:dyDescent="0.25">
      <c r="A178" s="1" t="s">
        <v>387</v>
      </c>
      <c r="B178" s="1" t="s">
        <v>107</v>
      </c>
      <c r="C178" s="3">
        <v>10995</v>
      </c>
      <c r="D178" s="1" t="s">
        <v>14</v>
      </c>
      <c r="E178">
        <v>2005</v>
      </c>
      <c r="F178" s="1" t="s">
        <v>35</v>
      </c>
      <c r="G178" s="1" t="s">
        <v>41</v>
      </c>
      <c r="H178" s="1" t="s">
        <v>17</v>
      </c>
      <c r="I178" s="1" t="s">
        <v>18</v>
      </c>
      <c r="J178" s="1" t="s">
        <v>388</v>
      </c>
      <c r="K178">
        <v>55185</v>
      </c>
      <c r="L178" s="1" t="s">
        <v>52</v>
      </c>
      <c r="M178" s="1" t="s">
        <v>21</v>
      </c>
      <c r="N178" s="2">
        <v>44755</v>
      </c>
    </row>
    <row r="179" spans="1:14" x14ac:dyDescent="0.25">
      <c r="A179" s="1" t="s">
        <v>389</v>
      </c>
      <c r="B179" s="1" t="s">
        <v>390</v>
      </c>
      <c r="C179" s="3">
        <v>34239</v>
      </c>
      <c r="D179" s="1" t="s">
        <v>14</v>
      </c>
      <c r="E179">
        <v>2019</v>
      </c>
      <c r="F179" s="1" t="s">
        <v>283</v>
      </c>
      <c r="G179" s="1" t="s">
        <v>41</v>
      </c>
      <c r="H179" s="1" t="s">
        <v>17</v>
      </c>
      <c r="I179" s="1" t="s">
        <v>18</v>
      </c>
      <c r="J179" s="1" t="s">
        <v>51</v>
      </c>
      <c r="K179">
        <v>8936</v>
      </c>
      <c r="L179" s="1" t="s">
        <v>44</v>
      </c>
      <c r="M179" s="1" t="s">
        <v>21</v>
      </c>
      <c r="N179" s="2">
        <v>44755</v>
      </c>
    </row>
    <row r="180" spans="1:14" x14ac:dyDescent="0.25">
      <c r="A180" s="1" t="s">
        <v>391</v>
      </c>
      <c r="B180" s="1" t="s">
        <v>392</v>
      </c>
      <c r="C180" s="3">
        <v>17495</v>
      </c>
      <c r="D180" s="1" t="s">
        <v>14</v>
      </c>
      <c r="E180">
        <v>2017</v>
      </c>
      <c r="F180" s="1" t="s">
        <v>187</v>
      </c>
      <c r="G180" s="1" t="s">
        <v>41</v>
      </c>
      <c r="H180" s="1" t="s">
        <v>17</v>
      </c>
      <c r="I180" s="1" t="s">
        <v>18</v>
      </c>
      <c r="J180" s="1" t="s">
        <v>73</v>
      </c>
      <c r="K180">
        <v>9537</v>
      </c>
      <c r="L180" s="1" t="s">
        <v>52</v>
      </c>
      <c r="M180" s="1" t="s">
        <v>21</v>
      </c>
      <c r="N180" s="2">
        <v>44755</v>
      </c>
    </row>
    <row r="181" spans="1:14" x14ac:dyDescent="0.25">
      <c r="A181" s="1" t="s">
        <v>393</v>
      </c>
      <c r="B181" s="1" t="s">
        <v>394</v>
      </c>
      <c r="C181" s="3">
        <v>40870</v>
      </c>
      <c r="D181" s="1" t="s">
        <v>14</v>
      </c>
      <c r="E181">
        <v>2021</v>
      </c>
      <c r="F181" s="1" t="s">
        <v>49</v>
      </c>
      <c r="G181" s="1" t="s">
        <v>16</v>
      </c>
      <c r="H181" s="1" t="s">
        <v>17</v>
      </c>
      <c r="I181" s="1" t="s">
        <v>18</v>
      </c>
      <c r="J181" s="1" t="s">
        <v>19</v>
      </c>
      <c r="K181">
        <v>7657</v>
      </c>
      <c r="L181" s="1" t="s">
        <v>52</v>
      </c>
      <c r="M181" s="1" t="s">
        <v>21</v>
      </c>
      <c r="N181" s="2">
        <v>44755</v>
      </c>
    </row>
    <row r="182" spans="1:14" x14ac:dyDescent="0.25">
      <c r="A182" s="1" t="s">
        <v>395</v>
      </c>
      <c r="B182" s="1" t="s">
        <v>396</v>
      </c>
      <c r="C182" s="3">
        <v>66250</v>
      </c>
      <c r="D182" s="1" t="s">
        <v>14</v>
      </c>
      <c r="E182">
        <v>2016</v>
      </c>
      <c r="F182" s="1" t="s">
        <v>397</v>
      </c>
      <c r="G182" s="1" t="s">
        <v>63</v>
      </c>
      <c r="H182" s="1" t="s">
        <v>17</v>
      </c>
      <c r="I182" s="1" t="s">
        <v>18</v>
      </c>
      <c r="J182" s="1" t="s">
        <v>398</v>
      </c>
      <c r="K182">
        <v>21962</v>
      </c>
      <c r="L182" s="1" t="s">
        <v>37</v>
      </c>
      <c r="M182" s="1" t="s">
        <v>21</v>
      </c>
      <c r="N182" s="2">
        <v>44755</v>
      </c>
    </row>
    <row r="183" spans="1:14" x14ac:dyDescent="0.25">
      <c r="A183" s="1" t="s">
        <v>399</v>
      </c>
      <c r="B183" s="1" t="s">
        <v>400</v>
      </c>
      <c r="C183" s="3">
        <v>34995</v>
      </c>
      <c r="D183" s="1" t="s">
        <v>14</v>
      </c>
      <c r="E183">
        <v>2018</v>
      </c>
      <c r="F183" s="1" t="s">
        <v>329</v>
      </c>
      <c r="G183" s="1" t="s">
        <v>41</v>
      </c>
      <c r="H183" s="1" t="s">
        <v>17</v>
      </c>
      <c r="I183" s="1" t="s">
        <v>18</v>
      </c>
      <c r="J183" s="1" t="s">
        <v>69</v>
      </c>
      <c r="K183">
        <v>67499</v>
      </c>
      <c r="L183" s="1" t="s">
        <v>37</v>
      </c>
      <c r="M183" s="1" t="s">
        <v>21</v>
      </c>
      <c r="N183" s="2">
        <v>44755</v>
      </c>
    </row>
    <row r="184" spans="1:14" x14ac:dyDescent="0.25">
      <c r="A184" s="1" t="s">
        <v>254</v>
      </c>
      <c r="B184" s="1" t="s">
        <v>197</v>
      </c>
      <c r="C184" s="3">
        <v>41995</v>
      </c>
      <c r="D184" s="1" t="s">
        <v>14</v>
      </c>
      <c r="E184">
        <v>2021</v>
      </c>
      <c r="F184" s="1" t="s">
        <v>85</v>
      </c>
      <c r="G184" s="1" t="s">
        <v>41</v>
      </c>
      <c r="H184" s="1" t="s">
        <v>17</v>
      </c>
      <c r="I184" s="1" t="s">
        <v>18</v>
      </c>
      <c r="J184" s="1" t="s">
        <v>51</v>
      </c>
      <c r="K184">
        <v>18224</v>
      </c>
      <c r="L184" s="1" t="s">
        <v>37</v>
      </c>
      <c r="M184" s="1" t="s">
        <v>21</v>
      </c>
      <c r="N184" s="2">
        <v>44755</v>
      </c>
    </row>
    <row r="185" spans="1:14" x14ac:dyDescent="0.25">
      <c r="A185" s="1" t="s">
        <v>401</v>
      </c>
      <c r="B185" s="1" t="s">
        <v>97</v>
      </c>
      <c r="C185" s="3">
        <v>44298</v>
      </c>
      <c r="D185" s="1" t="s">
        <v>14</v>
      </c>
      <c r="E185">
        <v>2018</v>
      </c>
      <c r="F185" s="1" t="s">
        <v>55</v>
      </c>
      <c r="G185" s="1" t="s">
        <v>25</v>
      </c>
      <c r="H185" s="1" t="s">
        <v>160</v>
      </c>
      <c r="I185" s="1" t="s">
        <v>18</v>
      </c>
      <c r="J185" s="1" t="s">
        <v>402</v>
      </c>
      <c r="K185">
        <v>52758</v>
      </c>
      <c r="L185" s="1" t="s">
        <v>20</v>
      </c>
      <c r="M185" s="1" t="s">
        <v>21</v>
      </c>
      <c r="N185" s="2">
        <v>44755</v>
      </c>
    </row>
    <row r="186" spans="1:14" x14ac:dyDescent="0.25">
      <c r="A186" s="1" t="s">
        <v>403</v>
      </c>
      <c r="B186" s="1" t="s">
        <v>103</v>
      </c>
      <c r="C186" s="3">
        <v>15995</v>
      </c>
      <c r="D186" s="1" t="s">
        <v>14</v>
      </c>
      <c r="E186">
        <v>2013</v>
      </c>
      <c r="F186" s="1" t="s">
        <v>55</v>
      </c>
      <c r="G186" s="1" t="s">
        <v>25</v>
      </c>
      <c r="H186" s="1" t="s">
        <v>17</v>
      </c>
      <c r="I186" s="1" t="s">
        <v>18</v>
      </c>
      <c r="J186" s="1" t="s">
        <v>176</v>
      </c>
      <c r="K186">
        <v>165340</v>
      </c>
      <c r="L186" s="1" t="s">
        <v>37</v>
      </c>
      <c r="M186" s="1" t="s">
        <v>21</v>
      </c>
      <c r="N186" s="2">
        <v>44755</v>
      </c>
    </row>
    <row r="187" spans="1:14" x14ac:dyDescent="0.25">
      <c r="A187" s="1" t="s">
        <v>404</v>
      </c>
      <c r="B187" s="1" t="s">
        <v>229</v>
      </c>
      <c r="C187" s="3">
        <v>14995</v>
      </c>
      <c r="D187" s="1" t="s">
        <v>14</v>
      </c>
      <c r="E187">
        <v>2004</v>
      </c>
      <c r="F187" s="1" t="s">
        <v>76</v>
      </c>
      <c r="G187" s="1" t="s">
        <v>25</v>
      </c>
      <c r="H187" s="1" t="s">
        <v>17</v>
      </c>
      <c r="I187" s="1" t="s">
        <v>18</v>
      </c>
      <c r="J187" s="1" t="s">
        <v>230</v>
      </c>
      <c r="K187">
        <v>146003</v>
      </c>
      <c r="L187" s="1" t="s">
        <v>37</v>
      </c>
      <c r="M187" s="1" t="s">
        <v>21</v>
      </c>
      <c r="N187" s="2">
        <v>44755</v>
      </c>
    </row>
    <row r="188" spans="1:14" x14ac:dyDescent="0.25">
      <c r="A188" s="1" t="s">
        <v>405</v>
      </c>
      <c r="B188" s="1" t="s">
        <v>406</v>
      </c>
      <c r="C188" s="3">
        <v>19998</v>
      </c>
      <c r="D188" s="1" t="s">
        <v>14</v>
      </c>
      <c r="E188">
        <v>2017</v>
      </c>
      <c r="F188" s="1" t="s">
        <v>55</v>
      </c>
      <c r="G188" s="1" t="s">
        <v>41</v>
      </c>
      <c r="H188" s="1" t="s">
        <v>17</v>
      </c>
      <c r="I188" s="1" t="s">
        <v>18</v>
      </c>
      <c r="J188" s="1" t="s">
        <v>101</v>
      </c>
      <c r="K188">
        <v>60282</v>
      </c>
      <c r="L188" s="1" t="s">
        <v>52</v>
      </c>
      <c r="M188" s="1" t="s">
        <v>21</v>
      </c>
      <c r="N188" s="2">
        <v>44755</v>
      </c>
    </row>
    <row r="189" spans="1:14" x14ac:dyDescent="0.25">
      <c r="A189" s="1" t="s">
        <v>407</v>
      </c>
      <c r="B189" s="1" t="s">
        <v>408</v>
      </c>
      <c r="C189" s="3">
        <v>14944</v>
      </c>
      <c r="D189" s="1" t="s">
        <v>14</v>
      </c>
      <c r="E189">
        <v>2014</v>
      </c>
      <c r="F189" s="1" t="s">
        <v>233</v>
      </c>
      <c r="G189" s="1" t="s">
        <v>41</v>
      </c>
      <c r="H189" s="1" t="s">
        <v>17</v>
      </c>
      <c r="I189" s="1" t="s">
        <v>18</v>
      </c>
      <c r="J189" s="1" t="s">
        <v>32</v>
      </c>
      <c r="K189">
        <v>29158</v>
      </c>
      <c r="L189" s="1" t="s">
        <v>52</v>
      </c>
      <c r="M189" s="1" t="s">
        <v>21</v>
      </c>
      <c r="N189" s="2">
        <v>44755</v>
      </c>
    </row>
    <row r="190" spans="1:14" x14ac:dyDescent="0.25">
      <c r="A190" s="1" t="s">
        <v>409</v>
      </c>
      <c r="B190" s="1" t="s">
        <v>410</v>
      </c>
      <c r="C190" s="3">
        <v>65000</v>
      </c>
      <c r="D190" s="1" t="s">
        <v>14</v>
      </c>
      <c r="E190">
        <v>2019</v>
      </c>
      <c r="F190" s="1" t="s">
        <v>62</v>
      </c>
      <c r="G190" s="1" t="s">
        <v>16</v>
      </c>
      <c r="H190" s="1" t="s">
        <v>17</v>
      </c>
      <c r="I190" s="1" t="s">
        <v>18</v>
      </c>
      <c r="J190" s="1" t="s">
        <v>411</v>
      </c>
      <c r="K190">
        <v>50037</v>
      </c>
      <c r="L190" s="1" t="s">
        <v>44</v>
      </c>
      <c r="M190" s="1" t="s">
        <v>21</v>
      </c>
      <c r="N190" s="2">
        <v>44755</v>
      </c>
    </row>
    <row r="191" spans="1:14" x14ac:dyDescent="0.25">
      <c r="A191" s="1" t="s">
        <v>412</v>
      </c>
      <c r="B191" s="1" t="s">
        <v>134</v>
      </c>
      <c r="C191" s="3">
        <v>15988</v>
      </c>
      <c r="D191" s="1" t="s">
        <v>14</v>
      </c>
      <c r="E191">
        <v>2013</v>
      </c>
      <c r="F191" s="1" t="s">
        <v>24</v>
      </c>
      <c r="G191" s="1" t="s">
        <v>16</v>
      </c>
      <c r="H191" s="1" t="s">
        <v>17</v>
      </c>
      <c r="I191" s="1" t="s">
        <v>18</v>
      </c>
      <c r="J191" s="1" t="s">
        <v>69</v>
      </c>
      <c r="K191">
        <v>105000</v>
      </c>
      <c r="L191" s="1" t="s">
        <v>44</v>
      </c>
      <c r="M191" s="1" t="s">
        <v>21</v>
      </c>
      <c r="N191" s="2">
        <v>44755</v>
      </c>
    </row>
    <row r="192" spans="1:14" x14ac:dyDescent="0.25">
      <c r="A192" s="1" t="s">
        <v>413</v>
      </c>
      <c r="B192" s="1" t="s">
        <v>186</v>
      </c>
      <c r="C192" s="3">
        <v>18999</v>
      </c>
      <c r="D192" s="1" t="s">
        <v>14</v>
      </c>
      <c r="E192">
        <v>2014</v>
      </c>
      <c r="F192" s="1" t="s">
        <v>187</v>
      </c>
      <c r="G192" s="1" t="s">
        <v>16</v>
      </c>
      <c r="H192" s="1" t="s">
        <v>17</v>
      </c>
      <c r="I192" s="1" t="s">
        <v>18</v>
      </c>
      <c r="J192" s="1" t="s">
        <v>241</v>
      </c>
      <c r="K192">
        <v>114416</v>
      </c>
      <c r="L192" s="1" t="s">
        <v>44</v>
      </c>
      <c r="M192" s="1" t="s">
        <v>21</v>
      </c>
      <c r="N192" s="2">
        <v>44755</v>
      </c>
    </row>
    <row r="193" spans="1:14" x14ac:dyDescent="0.25">
      <c r="A193" s="1" t="s">
        <v>414</v>
      </c>
      <c r="B193" s="1" t="s">
        <v>415</v>
      </c>
      <c r="C193" s="3">
        <v>4500</v>
      </c>
      <c r="D193" s="1" t="s">
        <v>14</v>
      </c>
      <c r="E193">
        <v>2004</v>
      </c>
      <c r="F193" s="1" t="s">
        <v>15</v>
      </c>
      <c r="G193" s="1" t="s">
        <v>16</v>
      </c>
      <c r="H193" s="1" t="s">
        <v>17</v>
      </c>
      <c r="I193" s="1" t="s">
        <v>18</v>
      </c>
      <c r="J193" s="1" t="s">
        <v>416</v>
      </c>
      <c r="K193">
        <v>138406</v>
      </c>
      <c r="L193" s="1" t="s">
        <v>20</v>
      </c>
      <c r="M193" s="1" t="s">
        <v>21</v>
      </c>
      <c r="N193" s="2">
        <v>44755</v>
      </c>
    </row>
    <row r="194" spans="1:14" x14ac:dyDescent="0.25">
      <c r="A194" s="1" t="s">
        <v>417</v>
      </c>
      <c r="B194" s="1" t="s">
        <v>418</v>
      </c>
      <c r="C194" s="3">
        <v>24495</v>
      </c>
      <c r="D194" s="1" t="s">
        <v>14</v>
      </c>
      <c r="E194">
        <v>2005</v>
      </c>
      <c r="F194" s="1" t="s">
        <v>174</v>
      </c>
      <c r="G194" s="1" t="s">
        <v>25</v>
      </c>
      <c r="H194" s="1" t="s">
        <v>17</v>
      </c>
      <c r="I194" s="1" t="s">
        <v>18</v>
      </c>
      <c r="J194" s="1" t="s">
        <v>419</v>
      </c>
      <c r="K194">
        <v>99856</v>
      </c>
      <c r="L194" s="1" t="s">
        <v>20</v>
      </c>
      <c r="M194" s="1" t="s">
        <v>21</v>
      </c>
      <c r="N194" s="2">
        <v>44755</v>
      </c>
    </row>
    <row r="195" spans="1:14" x14ac:dyDescent="0.25">
      <c r="A195" s="1" t="s">
        <v>213</v>
      </c>
      <c r="B195" s="1" t="s">
        <v>23</v>
      </c>
      <c r="C195" s="3">
        <v>40990</v>
      </c>
      <c r="D195" s="1" t="s">
        <v>14</v>
      </c>
      <c r="E195">
        <v>2018</v>
      </c>
      <c r="F195" s="1" t="s">
        <v>24</v>
      </c>
      <c r="G195" s="1" t="s">
        <v>25</v>
      </c>
      <c r="H195" s="1" t="s">
        <v>17</v>
      </c>
      <c r="I195" s="1" t="s">
        <v>18</v>
      </c>
      <c r="J195" s="1" t="s">
        <v>46</v>
      </c>
      <c r="K195">
        <v>77441</v>
      </c>
      <c r="L195" s="1" t="s">
        <v>20</v>
      </c>
      <c r="M195" s="1" t="s">
        <v>21</v>
      </c>
      <c r="N195" s="2">
        <v>44755</v>
      </c>
    </row>
    <row r="196" spans="1:14" x14ac:dyDescent="0.25">
      <c r="A196" s="1" t="s">
        <v>420</v>
      </c>
      <c r="B196" s="1" t="s">
        <v>113</v>
      </c>
      <c r="C196" s="3">
        <v>29498</v>
      </c>
      <c r="D196" s="1" t="s">
        <v>14</v>
      </c>
      <c r="E196">
        <v>2019</v>
      </c>
      <c r="F196" s="1" t="s">
        <v>15</v>
      </c>
      <c r="G196" s="1" t="s">
        <v>16</v>
      </c>
      <c r="H196" s="1" t="s">
        <v>17</v>
      </c>
      <c r="I196" s="1" t="s">
        <v>18</v>
      </c>
      <c r="J196" s="1" t="s">
        <v>421</v>
      </c>
      <c r="K196">
        <v>5522</v>
      </c>
      <c r="L196" s="1" t="s">
        <v>20</v>
      </c>
      <c r="M196" s="1" t="s">
        <v>21</v>
      </c>
      <c r="N196" s="2">
        <v>44755</v>
      </c>
    </row>
    <row r="197" spans="1:14" x14ac:dyDescent="0.25">
      <c r="A197" s="1" t="s">
        <v>422</v>
      </c>
      <c r="B197" s="1" t="s">
        <v>423</v>
      </c>
      <c r="C197" s="3">
        <v>19995</v>
      </c>
      <c r="D197" s="1" t="s">
        <v>14</v>
      </c>
      <c r="E197">
        <v>2014</v>
      </c>
      <c r="F197" s="1" t="s">
        <v>119</v>
      </c>
      <c r="G197" s="1" t="s">
        <v>41</v>
      </c>
      <c r="H197" s="1" t="s">
        <v>17</v>
      </c>
      <c r="I197" s="1" t="s">
        <v>18</v>
      </c>
      <c r="J197" s="1" t="s">
        <v>19</v>
      </c>
      <c r="K197">
        <v>75685</v>
      </c>
      <c r="L197" s="1" t="s">
        <v>44</v>
      </c>
      <c r="M197" s="1" t="s">
        <v>21</v>
      </c>
      <c r="N197" s="2">
        <v>44755</v>
      </c>
    </row>
    <row r="198" spans="1:14" x14ac:dyDescent="0.25">
      <c r="A198" s="1" t="s">
        <v>424</v>
      </c>
      <c r="B198" s="1" t="s">
        <v>134</v>
      </c>
      <c r="C198" s="3">
        <v>34499</v>
      </c>
      <c r="D198" s="1" t="s">
        <v>14</v>
      </c>
      <c r="E198">
        <v>2019</v>
      </c>
      <c r="F198" s="1" t="s">
        <v>24</v>
      </c>
      <c r="G198" s="1" t="s">
        <v>16</v>
      </c>
      <c r="H198" s="1" t="s">
        <v>17</v>
      </c>
      <c r="I198" s="1" t="s">
        <v>18</v>
      </c>
      <c r="J198" s="1" t="s">
        <v>51</v>
      </c>
      <c r="K198">
        <v>22261</v>
      </c>
      <c r="L198" s="1" t="s">
        <v>44</v>
      </c>
      <c r="M198" s="1" t="s">
        <v>21</v>
      </c>
      <c r="N198" s="2">
        <v>44755</v>
      </c>
    </row>
    <row r="199" spans="1:14" x14ac:dyDescent="0.25">
      <c r="A199" s="1" t="s">
        <v>425</v>
      </c>
      <c r="B199" s="1" t="s">
        <v>319</v>
      </c>
      <c r="C199" s="3">
        <v>57998</v>
      </c>
      <c r="D199" s="1" t="s">
        <v>14</v>
      </c>
      <c r="E199">
        <v>2019</v>
      </c>
      <c r="F199" s="1" t="s">
        <v>174</v>
      </c>
      <c r="G199" s="1" t="s">
        <v>25</v>
      </c>
      <c r="H199" s="1" t="s">
        <v>17</v>
      </c>
      <c r="I199" s="1" t="s">
        <v>18</v>
      </c>
      <c r="J199" s="1" t="s">
        <v>26</v>
      </c>
      <c r="K199">
        <v>53307</v>
      </c>
      <c r="L199" s="1" t="s">
        <v>20</v>
      </c>
      <c r="M199" s="1" t="s">
        <v>21</v>
      </c>
      <c r="N199" s="2">
        <v>44755</v>
      </c>
    </row>
    <row r="200" spans="1:14" x14ac:dyDescent="0.25">
      <c r="A200" s="1" t="s">
        <v>426</v>
      </c>
      <c r="B200" s="1" t="s">
        <v>78</v>
      </c>
      <c r="C200" s="3">
        <v>48445</v>
      </c>
      <c r="D200" s="1" t="s">
        <v>14</v>
      </c>
      <c r="E200">
        <v>2019</v>
      </c>
      <c r="F200" s="1" t="s">
        <v>79</v>
      </c>
      <c r="G200" s="1" t="s">
        <v>41</v>
      </c>
      <c r="H200" s="1" t="s">
        <v>17</v>
      </c>
      <c r="I200" s="1" t="s">
        <v>18</v>
      </c>
      <c r="J200" s="1" t="s">
        <v>427</v>
      </c>
      <c r="K200">
        <v>32576</v>
      </c>
      <c r="L200" s="1" t="s">
        <v>37</v>
      </c>
      <c r="M200" s="1" t="s">
        <v>21</v>
      </c>
      <c r="N200" s="2">
        <v>44755</v>
      </c>
    </row>
    <row r="201" spans="1:14" x14ac:dyDescent="0.25">
      <c r="A201" s="1" t="s">
        <v>428</v>
      </c>
      <c r="B201" s="1" t="s">
        <v>394</v>
      </c>
      <c r="C201" s="3">
        <v>32998</v>
      </c>
      <c r="D201" s="1" t="s">
        <v>14</v>
      </c>
      <c r="E201">
        <v>2018</v>
      </c>
      <c r="F201" s="1" t="s">
        <v>49</v>
      </c>
      <c r="G201" s="1" t="s">
        <v>16</v>
      </c>
      <c r="H201" s="1" t="s">
        <v>17</v>
      </c>
      <c r="I201" s="1" t="s">
        <v>18</v>
      </c>
      <c r="J201" s="1" t="s">
        <v>19</v>
      </c>
      <c r="K201">
        <v>83085</v>
      </c>
      <c r="L201" s="1" t="s">
        <v>44</v>
      </c>
      <c r="M201" s="1" t="s">
        <v>21</v>
      </c>
      <c r="N201" s="2">
        <v>44755</v>
      </c>
    </row>
    <row r="202" spans="1:14" x14ac:dyDescent="0.25">
      <c r="A202" s="1" t="s">
        <v>429</v>
      </c>
      <c r="B202" s="1" t="s">
        <v>218</v>
      </c>
      <c r="C202" s="3">
        <v>44998</v>
      </c>
      <c r="D202" s="1" t="s">
        <v>14</v>
      </c>
      <c r="E202">
        <v>2021</v>
      </c>
      <c r="F202" s="1" t="s">
        <v>174</v>
      </c>
      <c r="G202" s="1" t="s">
        <v>16</v>
      </c>
      <c r="H202" s="1" t="s">
        <v>17</v>
      </c>
      <c r="I202" s="1" t="s">
        <v>18</v>
      </c>
      <c r="J202" s="1" t="s">
        <v>346</v>
      </c>
      <c r="K202">
        <v>21934</v>
      </c>
      <c r="L202" s="1" t="s">
        <v>52</v>
      </c>
      <c r="M202" s="1" t="s">
        <v>21</v>
      </c>
      <c r="N202" s="2">
        <v>44755</v>
      </c>
    </row>
    <row r="203" spans="1:14" x14ac:dyDescent="0.25">
      <c r="A203" s="1" t="s">
        <v>430</v>
      </c>
      <c r="B203" s="1" t="s">
        <v>431</v>
      </c>
      <c r="C203" s="3">
        <v>39490</v>
      </c>
      <c r="D203" s="1" t="s">
        <v>14</v>
      </c>
      <c r="E203">
        <v>2018</v>
      </c>
      <c r="F203" s="1" t="s">
        <v>141</v>
      </c>
      <c r="G203" s="1" t="s">
        <v>16</v>
      </c>
      <c r="H203" s="1" t="s">
        <v>17</v>
      </c>
      <c r="I203" s="1" t="s">
        <v>18</v>
      </c>
      <c r="J203" s="1" t="s">
        <v>126</v>
      </c>
      <c r="K203">
        <v>69975</v>
      </c>
      <c r="L203" s="1" t="s">
        <v>44</v>
      </c>
      <c r="M203" s="1" t="s">
        <v>21</v>
      </c>
      <c r="N203" s="2">
        <v>44755</v>
      </c>
    </row>
    <row r="204" spans="1:14" x14ac:dyDescent="0.25">
      <c r="A204" s="1" t="s">
        <v>432</v>
      </c>
      <c r="B204" s="1" t="s">
        <v>433</v>
      </c>
      <c r="C204" s="3">
        <v>30950</v>
      </c>
      <c r="D204" s="1" t="s">
        <v>14</v>
      </c>
      <c r="E204">
        <v>2011</v>
      </c>
      <c r="F204" s="1" t="s">
        <v>119</v>
      </c>
      <c r="G204" s="1" t="s">
        <v>290</v>
      </c>
      <c r="H204" s="1" t="s">
        <v>17</v>
      </c>
      <c r="I204" s="1" t="s">
        <v>18</v>
      </c>
      <c r="J204" s="1" t="s">
        <v>434</v>
      </c>
      <c r="K204">
        <v>112827</v>
      </c>
      <c r="L204" s="1" t="s">
        <v>37</v>
      </c>
      <c r="M204" s="1" t="s">
        <v>21</v>
      </c>
      <c r="N204" s="2">
        <v>44755</v>
      </c>
    </row>
    <row r="205" spans="1:14" x14ac:dyDescent="0.25">
      <c r="A205" s="1" t="s">
        <v>250</v>
      </c>
      <c r="B205" s="1" t="s">
        <v>251</v>
      </c>
      <c r="C205" s="3">
        <v>52800</v>
      </c>
      <c r="D205" s="1" t="s">
        <v>14</v>
      </c>
      <c r="E205">
        <v>2021</v>
      </c>
      <c r="F205" s="1" t="s">
        <v>55</v>
      </c>
      <c r="G205" s="1" t="s">
        <v>16</v>
      </c>
      <c r="H205" s="1" t="s">
        <v>17</v>
      </c>
      <c r="I205" s="1" t="s">
        <v>18</v>
      </c>
      <c r="J205" s="1" t="s">
        <v>19</v>
      </c>
      <c r="K205">
        <v>8495</v>
      </c>
      <c r="L205" s="1" t="s">
        <v>52</v>
      </c>
      <c r="M205" s="1" t="s">
        <v>21</v>
      </c>
      <c r="N205" s="2">
        <v>44755</v>
      </c>
    </row>
    <row r="206" spans="1:14" x14ac:dyDescent="0.25">
      <c r="A206" s="1" t="s">
        <v>435</v>
      </c>
      <c r="B206" s="1" t="s">
        <v>436</v>
      </c>
      <c r="C206" s="3">
        <v>45911</v>
      </c>
      <c r="D206" s="1" t="s">
        <v>14</v>
      </c>
      <c r="E206">
        <v>2020</v>
      </c>
      <c r="F206" s="1" t="s">
        <v>55</v>
      </c>
      <c r="G206" s="1" t="s">
        <v>16</v>
      </c>
      <c r="H206" s="1" t="s">
        <v>17</v>
      </c>
      <c r="I206" s="1" t="s">
        <v>18</v>
      </c>
      <c r="J206" s="1" t="s">
        <v>19</v>
      </c>
      <c r="K206">
        <v>19629</v>
      </c>
      <c r="L206" s="1" t="s">
        <v>44</v>
      </c>
      <c r="M206" s="1" t="s">
        <v>21</v>
      </c>
      <c r="N206" s="2">
        <v>44755</v>
      </c>
    </row>
    <row r="207" spans="1:14" x14ac:dyDescent="0.25">
      <c r="A207" s="1" t="s">
        <v>437</v>
      </c>
      <c r="B207" s="1" t="s">
        <v>438</v>
      </c>
      <c r="C207" s="3">
        <v>34737</v>
      </c>
      <c r="D207" s="1" t="s">
        <v>14</v>
      </c>
      <c r="E207">
        <v>2019</v>
      </c>
      <c r="F207" s="1" t="s">
        <v>439</v>
      </c>
      <c r="G207" s="1" t="s">
        <v>41</v>
      </c>
      <c r="H207" s="1" t="s">
        <v>17</v>
      </c>
      <c r="I207" s="1" t="s">
        <v>18</v>
      </c>
      <c r="J207" s="1" t="s">
        <v>51</v>
      </c>
      <c r="K207">
        <v>31340</v>
      </c>
      <c r="L207" s="1" t="s">
        <v>37</v>
      </c>
      <c r="M207" s="1" t="s">
        <v>21</v>
      </c>
      <c r="N207" s="2">
        <v>44755</v>
      </c>
    </row>
    <row r="208" spans="1:14" x14ac:dyDescent="0.25">
      <c r="A208" s="1" t="s">
        <v>440</v>
      </c>
      <c r="B208" s="1" t="s">
        <v>313</v>
      </c>
      <c r="C208" s="3">
        <v>21500</v>
      </c>
      <c r="D208" s="1" t="s">
        <v>14</v>
      </c>
      <c r="E208">
        <v>2020</v>
      </c>
      <c r="F208" s="1" t="s">
        <v>55</v>
      </c>
      <c r="G208" s="1" t="s">
        <v>41</v>
      </c>
      <c r="H208" s="1" t="s">
        <v>17</v>
      </c>
      <c r="I208" s="1" t="s">
        <v>18</v>
      </c>
      <c r="J208" s="1" t="s">
        <v>132</v>
      </c>
      <c r="K208">
        <v>41935</v>
      </c>
      <c r="L208" s="1" t="s">
        <v>52</v>
      </c>
      <c r="M208" s="1" t="s">
        <v>21</v>
      </c>
      <c r="N208" s="2">
        <v>44755</v>
      </c>
    </row>
    <row r="209" spans="1:14" x14ac:dyDescent="0.25">
      <c r="A209" s="1" t="s">
        <v>441</v>
      </c>
      <c r="B209" s="1" t="s">
        <v>442</v>
      </c>
      <c r="C209" s="3">
        <v>26999</v>
      </c>
      <c r="D209" s="1" t="s">
        <v>14</v>
      </c>
      <c r="E209">
        <v>2016</v>
      </c>
      <c r="F209" s="1" t="s">
        <v>141</v>
      </c>
      <c r="G209" s="1" t="s">
        <v>41</v>
      </c>
      <c r="H209" s="1" t="s">
        <v>17</v>
      </c>
      <c r="I209" s="1" t="s">
        <v>18</v>
      </c>
      <c r="J209" s="1" t="s">
        <v>51</v>
      </c>
      <c r="K209">
        <v>78284</v>
      </c>
      <c r="L209" s="1" t="s">
        <v>44</v>
      </c>
      <c r="M209" s="1" t="s">
        <v>21</v>
      </c>
      <c r="N209" s="2">
        <v>44755</v>
      </c>
    </row>
    <row r="210" spans="1:14" x14ac:dyDescent="0.25">
      <c r="A210" s="1" t="s">
        <v>443</v>
      </c>
      <c r="B210" s="1" t="s">
        <v>313</v>
      </c>
      <c r="C210" s="3">
        <v>17999</v>
      </c>
      <c r="D210" s="1" t="s">
        <v>14</v>
      </c>
      <c r="E210">
        <v>2019</v>
      </c>
      <c r="F210" s="1" t="s">
        <v>55</v>
      </c>
      <c r="G210" s="1" t="s">
        <v>41</v>
      </c>
      <c r="H210" s="1" t="s">
        <v>17</v>
      </c>
      <c r="I210" s="1" t="s">
        <v>18</v>
      </c>
      <c r="J210" s="1" t="s">
        <v>132</v>
      </c>
      <c r="K210">
        <v>68550</v>
      </c>
      <c r="L210" s="1" t="s">
        <v>52</v>
      </c>
      <c r="M210" s="1" t="s">
        <v>21</v>
      </c>
      <c r="N210" s="2">
        <v>44755</v>
      </c>
    </row>
    <row r="211" spans="1:14" x14ac:dyDescent="0.25">
      <c r="A211" s="1" t="s">
        <v>444</v>
      </c>
      <c r="B211" s="1" t="s">
        <v>445</v>
      </c>
      <c r="C211" s="3">
        <v>10990</v>
      </c>
      <c r="D211" s="1" t="s">
        <v>14</v>
      </c>
      <c r="E211">
        <v>2010</v>
      </c>
      <c r="F211" s="1" t="s">
        <v>221</v>
      </c>
      <c r="G211" s="1" t="s">
        <v>290</v>
      </c>
      <c r="H211" s="1" t="s">
        <v>17</v>
      </c>
      <c r="I211" s="1" t="s">
        <v>18</v>
      </c>
      <c r="J211" s="1" t="s">
        <v>416</v>
      </c>
      <c r="K211">
        <v>135556</v>
      </c>
      <c r="L211" s="1" t="s">
        <v>37</v>
      </c>
      <c r="M211" s="1" t="s">
        <v>21</v>
      </c>
      <c r="N211" s="2">
        <v>44755</v>
      </c>
    </row>
    <row r="212" spans="1:14" x14ac:dyDescent="0.25">
      <c r="A212" s="1" t="s">
        <v>446</v>
      </c>
      <c r="B212" s="1" t="s">
        <v>54</v>
      </c>
      <c r="C212" s="3">
        <v>14936</v>
      </c>
      <c r="D212" s="1" t="s">
        <v>14</v>
      </c>
      <c r="E212">
        <v>2014</v>
      </c>
      <c r="F212" s="1" t="s">
        <v>55</v>
      </c>
      <c r="G212" s="1" t="s">
        <v>16</v>
      </c>
      <c r="H212" s="1" t="s">
        <v>17</v>
      </c>
      <c r="I212" s="1" t="s">
        <v>18</v>
      </c>
      <c r="J212" s="1" t="s">
        <v>32</v>
      </c>
      <c r="K212">
        <v>98632</v>
      </c>
      <c r="L212" s="1" t="s">
        <v>52</v>
      </c>
      <c r="M212" s="1" t="s">
        <v>21</v>
      </c>
      <c r="N212" s="2">
        <v>44755</v>
      </c>
    </row>
    <row r="213" spans="1:14" x14ac:dyDescent="0.25">
      <c r="A213" s="1" t="s">
        <v>447</v>
      </c>
      <c r="B213" s="1" t="s">
        <v>23</v>
      </c>
      <c r="C213" s="3">
        <v>27550</v>
      </c>
      <c r="D213" s="1" t="s">
        <v>14</v>
      </c>
      <c r="E213">
        <v>2019</v>
      </c>
      <c r="F213" s="1" t="s">
        <v>24</v>
      </c>
      <c r="G213" s="1" t="s">
        <v>25</v>
      </c>
      <c r="H213" s="1" t="s">
        <v>17</v>
      </c>
      <c r="I213" s="1" t="s">
        <v>18</v>
      </c>
      <c r="J213" s="1" t="s">
        <v>277</v>
      </c>
      <c r="K213">
        <v>43889</v>
      </c>
      <c r="L213" s="1" t="s">
        <v>37</v>
      </c>
      <c r="M213" s="1" t="s">
        <v>21</v>
      </c>
      <c r="N213" s="2">
        <v>44755</v>
      </c>
    </row>
    <row r="214" spans="1:14" x14ac:dyDescent="0.25">
      <c r="A214" s="1" t="s">
        <v>448</v>
      </c>
      <c r="B214" s="1" t="s">
        <v>207</v>
      </c>
      <c r="C214" s="3">
        <v>32977</v>
      </c>
      <c r="D214" s="1" t="s">
        <v>14</v>
      </c>
      <c r="E214">
        <v>2020</v>
      </c>
      <c r="F214" s="1" t="s">
        <v>49</v>
      </c>
      <c r="G214" s="1" t="s">
        <v>16</v>
      </c>
      <c r="H214" s="1" t="s">
        <v>17</v>
      </c>
      <c r="I214" s="1" t="s">
        <v>18</v>
      </c>
      <c r="J214" s="1" t="s">
        <v>51</v>
      </c>
      <c r="K214">
        <v>17560</v>
      </c>
      <c r="L214" s="1" t="s">
        <v>44</v>
      </c>
      <c r="M214" s="1" t="s">
        <v>21</v>
      </c>
      <c r="N214" s="2">
        <v>44755</v>
      </c>
    </row>
    <row r="215" spans="1:14" x14ac:dyDescent="0.25">
      <c r="A215" s="1" t="s">
        <v>449</v>
      </c>
      <c r="B215" s="1" t="s">
        <v>450</v>
      </c>
      <c r="C215" s="3">
        <v>10991</v>
      </c>
      <c r="D215" s="1" t="s">
        <v>14</v>
      </c>
      <c r="E215">
        <v>2016</v>
      </c>
      <c r="F215" s="1" t="s">
        <v>76</v>
      </c>
      <c r="G215" s="1" t="s">
        <v>41</v>
      </c>
      <c r="H215" s="1" t="s">
        <v>17</v>
      </c>
      <c r="I215" s="1" t="s">
        <v>18</v>
      </c>
      <c r="J215" s="1" t="s">
        <v>451</v>
      </c>
      <c r="K215">
        <v>84547</v>
      </c>
      <c r="L215" s="1" t="s">
        <v>52</v>
      </c>
      <c r="M215" s="1" t="s">
        <v>21</v>
      </c>
      <c r="N215" s="2">
        <v>44755</v>
      </c>
    </row>
    <row r="216" spans="1:14" x14ac:dyDescent="0.25">
      <c r="A216" s="1" t="s">
        <v>452</v>
      </c>
      <c r="B216" s="1" t="s">
        <v>340</v>
      </c>
      <c r="C216" s="3">
        <v>21543</v>
      </c>
      <c r="D216" s="1" t="s">
        <v>14</v>
      </c>
      <c r="E216">
        <v>2019</v>
      </c>
      <c r="F216" s="1" t="s">
        <v>35</v>
      </c>
      <c r="G216" s="1" t="s">
        <v>41</v>
      </c>
      <c r="H216" s="1" t="s">
        <v>17</v>
      </c>
      <c r="I216" s="1" t="s">
        <v>18</v>
      </c>
      <c r="J216" s="1" t="s">
        <v>341</v>
      </c>
      <c r="K216">
        <v>53567</v>
      </c>
      <c r="L216" s="1" t="s">
        <v>52</v>
      </c>
      <c r="M216" s="1" t="s">
        <v>21</v>
      </c>
      <c r="N216" s="2">
        <v>44755</v>
      </c>
    </row>
    <row r="217" spans="1:14" x14ac:dyDescent="0.25">
      <c r="A217" s="1" t="s">
        <v>453</v>
      </c>
      <c r="B217" s="1" t="s">
        <v>354</v>
      </c>
      <c r="C217" s="3">
        <v>23788</v>
      </c>
      <c r="D217" s="1" t="s">
        <v>14</v>
      </c>
      <c r="E217">
        <v>2021</v>
      </c>
      <c r="F217" s="1" t="s">
        <v>72</v>
      </c>
      <c r="G217" s="1" t="s">
        <v>16</v>
      </c>
      <c r="H217" s="1" t="s">
        <v>17</v>
      </c>
      <c r="I217" s="1" t="s">
        <v>18</v>
      </c>
      <c r="J217" s="1" t="s">
        <v>73</v>
      </c>
      <c r="K217">
        <v>28946</v>
      </c>
      <c r="L217" s="1" t="s">
        <v>52</v>
      </c>
      <c r="M217" s="1" t="s">
        <v>21</v>
      </c>
      <c r="N217" s="2">
        <v>44755</v>
      </c>
    </row>
    <row r="218" spans="1:14" x14ac:dyDescent="0.25">
      <c r="A218" s="1" t="s">
        <v>302</v>
      </c>
      <c r="B218" s="1" t="s">
        <v>243</v>
      </c>
      <c r="C218" s="3">
        <v>43811</v>
      </c>
      <c r="D218" s="1" t="s">
        <v>14</v>
      </c>
      <c r="E218">
        <v>2019</v>
      </c>
      <c r="F218" s="1" t="s">
        <v>35</v>
      </c>
      <c r="G218" s="1" t="s">
        <v>25</v>
      </c>
      <c r="H218" s="1" t="s">
        <v>17</v>
      </c>
      <c r="I218" s="1" t="s">
        <v>18</v>
      </c>
      <c r="J218" s="1" t="s">
        <v>69</v>
      </c>
      <c r="K218">
        <v>14582</v>
      </c>
      <c r="L218" s="1" t="s">
        <v>20</v>
      </c>
      <c r="M218" s="1" t="s">
        <v>21</v>
      </c>
      <c r="N218" s="2">
        <v>44755</v>
      </c>
    </row>
    <row r="219" spans="1:14" x14ac:dyDescent="0.25">
      <c r="A219" s="1" t="s">
        <v>454</v>
      </c>
      <c r="B219" s="1" t="s">
        <v>285</v>
      </c>
      <c r="C219" s="3">
        <v>29990</v>
      </c>
      <c r="D219" s="1" t="s">
        <v>14</v>
      </c>
      <c r="E219">
        <v>2015</v>
      </c>
      <c r="F219" s="1" t="s">
        <v>154</v>
      </c>
      <c r="G219" s="1" t="s">
        <v>16</v>
      </c>
      <c r="H219" s="1" t="s">
        <v>17</v>
      </c>
      <c r="I219" s="1" t="s">
        <v>18</v>
      </c>
      <c r="J219" s="1" t="s">
        <v>51</v>
      </c>
      <c r="K219">
        <v>75066</v>
      </c>
      <c r="L219" s="1" t="s">
        <v>44</v>
      </c>
      <c r="M219" s="1" t="s">
        <v>21</v>
      </c>
      <c r="N219" s="2">
        <v>44755</v>
      </c>
    </row>
    <row r="220" spans="1:14" x14ac:dyDescent="0.25">
      <c r="A220" s="1" t="s">
        <v>455</v>
      </c>
      <c r="B220" s="1" t="s">
        <v>456</v>
      </c>
      <c r="C220" s="3">
        <v>39800</v>
      </c>
      <c r="D220" s="1" t="s">
        <v>14</v>
      </c>
      <c r="E220">
        <v>2011</v>
      </c>
      <c r="F220" s="1" t="s">
        <v>55</v>
      </c>
      <c r="G220" s="1" t="s">
        <v>290</v>
      </c>
      <c r="H220" s="1" t="s">
        <v>17</v>
      </c>
      <c r="I220" s="1" t="s">
        <v>18</v>
      </c>
      <c r="J220" s="1" t="s">
        <v>26</v>
      </c>
      <c r="K220">
        <v>53979</v>
      </c>
      <c r="L220" s="1" t="s">
        <v>37</v>
      </c>
      <c r="M220" s="1" t="s">
        <v>21</v>
      </c>
      <c r="N220" s="2">
        <v>44755</v>
      </c>
    </row>
    <row r="221" spans="1:14" x14ac:dyDescent="0.25">
      <c r="A221" s="1" t="s">
        <v>457</v>
      </c>
      <c r="B221" s="1" t="s">
        <v>458</v>
      </c>
      <c r="C221" s="3">
        <v>22590</v>
      </c>
      <c r="D221" s="1" t="s">
        <v>14</v>
      </c>
      <c r="E221">
        <v>2019</v>
      </c>
      <c r="F221" s="1" t="s">
        <v>187</v>
      </c>
      <c r="G221" s="1" t="s">
        <v>16</v>
      </c>
      <c r="H221" s="1" t="s">
        <v>17</v>
      </c>
      <c r="I221" s="1" t="s">
        <v>18</v>
      </c>
      <c r="J221" s="1" t="s">
        <v>32</v>
      </c>
      <c r="K221">
        <v>43411</v>
      </c>
      <c r="L221" s="1" t="s">
        <v>52</v>
      </c>
      <c r="M221" s="1" t="s">
        <v>21</v>
      </c>
      <c r="N221" s="2">
        <v>44755</v>
      </c>
    </row>
    <row r="222" spans="1:14" x14ac:dyDescent="0.25">
      <c r="A222" s="1" t="s">
        <v>459</v>
      </c>
      <c r="B222" s="1" t="s">
        <v>460</v>
      </c>
      <c r="C222" s="3">
        <v>21990</v>
      </c>
      <c r="D222" s="1" t="s">
        <v>14</v>
      </c>
      <c r="E222">
        <v>2011</v>
      </c>
      <c r="F222" s="1" t="s">
        <v>154</v>
      </c>
      <c r="G222" s="1" t="s">
        <v>41</v>
      </c>
      <c r="H222" s="1" t="s">
        <v>17</v>
      </c>
      <c r="I222" s="1" t="s">
        <v>18</v>
      </c>
      <c r="J222" s="1" t="s">
        <v>388</v>
      </c>
      <c r="K222">
        <v>25223</v>
      </c>
      <c r="L222" s="1" t="s">
        <v>44</v>
      </c>
      <c r="M222" s="1" t="s">
        <v>21</v>
      </c>
      <c r="N222" s="2">
        <v>44755</v>
      </c>
    </row>
    <row r="223" spans="1:14" x14ac:dyDescent="0.25">
      <c r="A223" s="1" t="s">
        <v>461</v>
      </c>
      <c r="B223" s="1" t="s">
        <v>462</v>
      </c>
      <c r="C223" s="3">
        <v>39799</v>
      </c>
      <c r="D223" s="1" t="s">
        <v>14</v>
      </c>
      <c r="E223">
        <v>2020</v>
      </c>
      <c r="F223" s="1" t="s">
        <v>174</v>
      </c>
      <c r="G223" s="1" t="s">
        <v>25</v>
      </c>
      <c r="H223" s="1" t="s">
        <v>17</v>
      </c>
      <c r="I223" s="1" t="s">
        <v>18</v>
      </c>
      <c r="J223" s="1" t="s">
        <v>19</v>
      </c>
      <c r="K223">
        <v>22441</v>
      </c>
      <c r="L223" s="1" t="s">
        <v>20</v>
      </c>
      <c r="M223" s="1" t="s">
        <v>21</v>
      </c>
      <c r="N223" s="2">
        <v>44755</v>
      </c>
    </row>
    <row r="224" spans="1:14" x14ac:dyDescent="0.25">
      <c r="A224" s="1" t="s">
        <v>463</v>
      </c>
      <c r="B224" s="1" t="s">
        <v>280</v>
      </c>
      <c r="C224" s="3">
        <v>62797</v>
      </c>
      <c r="D224" s="1" t="s">
        <v>14</v>
      </c>
      <c r="E224">
        <v>2020</v>
      </c>
      <c r="F224" s="1" t="s">
        <v>24</v>
      </c>
      <c r="G224" s="1" t="s">
        <v>16</v>
      </c>
      <c r="H224" s="1" t="s">
        <v>17</v>
      </c>
      <c r="I224" s="1" t="s">
        <v>18</v>
      </c>
      <c r="J224" s="1" t="s">
        <v>46</v>
      </c>
      <c r="K224">
        <v>22485</v>
      </c>
      <c r="L224" s="1" t="s">
        <v>20</v>
      </c>
      <c r="M224" s="1" t="s">
        <v>21</v>
      </c>
      <c r="N224" s="2">
        <v>44755</v>
      </c>
    </row>
    <row r="225" spans="1:14" x14ac:dyDescent="0.25">
      <c r="A225" s="1" t="s">
        <v>464</v>
      </c>
      <c r="B225" s="1" t="s">
        <v>465</v>
      </c>
      <c r="C225" s="3">
        <v>47371</v>
      </c>
      <c r="D225" s="1" t="s">
        <v>14</v>
      </c>
      <c r="E225">
        <v>2021</v>
      </c>
      <c r="F225" s="1" t="s">
        <v>55</v>
      </c>
      <c r="G225" s="1" t="s">
        <v>175</v>
      </c>
      <c r="H225" s="1" t="s">
        <v>17</v>
      </c>
      <c r="I225" s="1" t="s">
        <v>18</v>
      </c>
      <c r="J225" s="1" t="s">
        <v>466</v>
      </c>
      <c r="K225">
        <v>17386</v>
      </c>
      <c r="L225" s="1" t="s">
        <v>37</v>
      </c>
      <c r="M225" s="1" t="s">
        <v>21</v>
      </c>
      <c r="N225" s="2">
        <v>44755</v>
      </c>
    </row>
    <row r="226" spans="1:14" x14ac:dyDescent="0.25">
      <c r="A226" s="1" t="s">
        <v>467</v>
      </c>
      <c r="B226" s="1" t="s">
        <v>128</v>
      </c>
      <c r="C226" s="3">
        <v>35998</v>
      </c>
      <c r="D226" s="1" t="s">
        <v>14</v>
      </c>
      <c r="E226">
        <v>2018</v>
      </c>
      <c r="F226" s="1" t="s">
        <v>15</v>
      </c>
      <c r="G226" s="1" t="s">
        <v>16</v>
      </c>
      <c r="H226" s="1" t="s">
        <v>17</v>
      </c>
      <c r="I226" s="1" t="s">
        <v>64</v>
      </c>
      <c r="J226" s="1" t="s">
        <v>19</v>
      </c>
      <c r="K226">
        <v>34346</v>
      </c>
      <c r="L226" s="1" t="s">
        <v>20</v>
      </c>
      <c r="M226" s="1" t="s">
        <v>21</v>
      </c>
      <c r="N226" s="2">
        <v>44755</v>
      </c>
    </row>
    <row r="227" spans="1:14" x14ac:dyDescent="0.25">
      <c r="A227" s="1" t="s">
        <v>468</v>
      </c>
      <c r="B227" s="1" t="s">
        <v>91</v>
      </c>
      <c r="C227" s="3">
        <v>20499</v>
      </c>
      <c r="D227" s="1" t="s">
        <v>14</v>
      </c>
      <c r="E227">
        <v>2018</v>
      </c>
      <c r="F227" s="1" t="s">
        <v>76</v>
      </c>
      <c r="G227" s="1" t="s">
        <v>16</v>
      </c>
      <c r="H227" s="1" t="s">
        <v>17</v>
      </c>
      <c r="I227" s="1" t="s">
        <v>18</v>
      </c>
      <c r="J227" s="1" t="s">
        <v>92</v>
      </c>
      <c r="K227">
        <v>52398</v>
      </c>
      <c r="L227" s="1" t="s">
        <v>44</v>
      </c>
      <c r="M227" s="1" t="s">
        <v>21</v>
      </c>
      <c r="N227" s="2">
        <v>44755</v>
      </c>
    </row>
    <row r="228" spans="1:14" x14ac:dyDescent="0.25">
      <c r="A228" s="1" t="s">
        <v>27</v>
      </c>
      <c r="B228" s="1" t="s">
        <v>28</v>
      </c>
      <c r="C228" s="3">
        <v>46998</v>
      </c>
      <c r="D228" s="1" t="s">
        <v>14</v>
      </c>
      <c r="E228">
        <v>2019</v>
      </c>
      <c r="F228" s="1" t="s">
        <v>29</v>
      </c>
      <c r="G228" s="1" t="s">
        <v>25</v>
      </c>
      <c r="H228" s="1" t="s">
        <v>17</v>
      </c>
      <c r="I228" s="1" t="s">
        <v>18</v>
      </c>
      <c r="J228" s="1" t="s">
        <v>36</v>
      </c>
      <c r="K228">
        <v>28518</v>
      </c>
      <c r="L228" s="1" t="s">
        <v>20</v>
      </c>
      <c r="M228" s="1" t="s">
        <v>21</v>
      </c>
      <c r="N228" s="2">
        <v>44755</v>
      </c>
    </row>
    <row r="229" spans="1:14" x14ac:dyDescent="0.25">
      <c r="A229" s="1" t="s">
        <v>469</v>
      </c>
      <c r="B229" s="1" t="s">
        <v>470</v>
      </c>
      <c r="C229" s="3">
        <v>18900</v>
      </c>
      <c r="D229" s="1" t="s">
        <v>14</v>
      </c>
      <c r="E229">
        <v>2015</v>
      </c>
      <c r="F229" s="1" t="s">
        <v>233</v>
      </c>
      <c r="G229" s="1" t="s">
        <v>68</v>
      </c>
      <c r="H229" s="1" t="s">
        <v>17</v>
      </c>
      <c r="I229" s="1" t="s">
        <v>18</v>
      </c>
      <c r="J229" s="1" t="s">
        <v>19</v>
      </c>
      <c r="K229">
        <v>56734</v>
      </c>
      <c r="L229" s="1" t="s">
        <v>52</v>
      </c>
      <c r="M229" s="1" t="s">
        <v>21</v>
      </c>
      <c r="N229" s="2">
        <v>44755</v>
      </c>
    </row>
    <row r="230" spans="1:14" x14ac:dyDescent="0.25">
      <c r="A230" s="1" t="s">
        <v>471</v>
      </c>
      <c r="B230" s="1" t="s">
        <v>23</v>
      </c>
      <c r="C230" s="3">
        <v>12499</v>
      </c>
      <c r="D230" s="1" t="s">
        <v>14</v>
      </c>
      <c r="E230">
        <v>2012</v>
      </c>
      <c r="F230" s="1" t="s">
        <v>24</v>
      </c>
      <c r="G230" s="1" t="s">
        <v>25</v>
      </c>
      <c r="H230" s="1" t="s">
        <v>17</v>
      </c>
      <c r="I230" s="1" t="s">
        <v>18</v>
      </c>
      <c r="J230" s="1" t="s">
        <v>277</v>
      </c>
      <c r="K230">
        <v>201100</v>
      </c>
      <c r="L230" s="1" t="s">
        <v>37</v>
      </c>
      <c r="M230" s="1" t="s">
        <v>21</v>
      </c>
      <c r="N230" s="2">
        <v>44755</v>
      </c>
    </row>
    <row r="231" spans="1:14" x14ac:dyDescent="0.25">
      <c r="A231" s="1" t="s">
        <v>472</v>
      </c>
      <c r="B231" s="1" t="s">
        <v>473</v>
      </c>
      <c r="C231" s="3">
        <v>61995</v>
      </c>
      <c r="D231" s="1" t="s">
        <v>14</v>
      </c>
      <c r="E231">
        <v>2019</v>
      </c>
      <c r="F231" s="1" t="s">
        <v>154</v>
      </c>
      <c r="G231" s="1" t="s">
        <v>41</v>
      </c>
      <c r="H231" s="1" t="s">
        <v>17</v>
      </c>
      <c r="I231" s="1" t="s">
        <v>18</v>
      </c>
      <c r="J231" s="1" t="s">
        <v>182</v>
      </c>
      <c r="K231">
        <v>18004</v>
      </c>
      <c r="L231" s="1" t="s">
        <v>44</v>
      </c>
      <c r="M231" s="1" t="s">
        <v>21</v>
      </c>
      <c r="N231" s="2">
        <v>44755</v>
      </c>
    </row>
    <row r="232" spans="1:14" x14ac:dyDescent="0.25">
      <c r="A232" s="1" t="s">
        <v>474</v>
      </c>
      <c r="B232" s="1" t="s">
        <v>475</v>
      </c>
      <c r="C232" s="3">
        <v>30100</v>
      </c>
      <c r="D232" s="1" t="s">
        <v>14</v>
      </c>
      <c r="E232">
        <v>2017</v>
      </c>
      <c r="F232" s="1" t="s">
        <v>141</v>
      </c>
      <c r="G232" s="1" t="s">
        <v>41</v>
      </c>
      <c r="H232" s="1" t="s">
        <v>17</v>
      </c>
      <c r="I232" s="1" t="s">
        <v>18</v>
      </c>
      <c r="J232" s="1" t="s">
        <v>51</v>
      </c>
      <c r="K232">
        <v>31326</v>
      </c>
      <c r="L232" s="1" t="s">
        <v>44</v>
      </c>
      <c r="M232" s="1" t="s">
        <v>21</v>
      </c>
      <c r="N232" s="2">
        <v>44755</v>
      </c>
    </row>
    <row r="233" spans="1:14" x14ac:dyDescent="0.25">
      <c r="A233" s="1" t="s">
        <v>476</v>
      </c>
      <c r="B233" s="1" t="s">
        <v>285</v>
      </c>
      <c r="C233" s="3">
        <v>28985</v>
      </c>
      <c r="D233" s="1" t="s">
        <v>14</v>
      </c>
      <c r="E233">
        <v>2018</v>
      </c>
      <c r="F233" s="1" t="s">
        <v>154</v>
      </c>
      <c r="G233" s="1" t="s">
        <v>16</v>
      </c>
      <c r="H233" s="1" t="s">
        <v>17</v>
      </c>
      <c r="I233" s="1" t="s">
        <v>18</v>
      </c>
      <c r="J233" s="1" t="s">
        <v>51</v>
      </c>
      <c r="K233">
        <v>33818</v>
      </c>
      <c r="L233" s="1" t="s">
        <v>52</v>
      </c>
      <c r="M233" s="1" t="s">
        <v>21</v>
      </c>
      <c r="N233" s="2">
        <v>44755</v>
      </c>
    </row>
    <row r="234" spans="1:14" x14ac:dyDescent="0.25">
      <c r="A234" s="1" t="s">
        <v>477</v>
      </c>
      <c r="B234" s="1" t="s">
        <v>232</v>
      </c>
      <c r="C234" s="3">
        <v>39287</v>
      </c>
      <c r="D234" s="1" t="s">
        <v>14</v>
      </c>
      <c r="E234">
        <v>2019</v>
      </c>
      <c r="F234" s="1" t="s">
        <v>233</v>
      </c>
      <c r="G234" s="1" t="s">
        <v>68</v>
      </c>
      <c r="H234" s="1" t="s">
        <v>17</v>
      </c>
      <c r="I234" s="1" t="s">
        <v>18</v>
      </c>
      <c r="J234" s="1" t="s">
        <v>19</v>
      </c>
      <c r="K234">
        <v>39094</v>
      </c>
      <c r="L234" s="1" t="s">
        <v>52</v>
      </c>
      <c r="M234" s="1" t="s">
        <v>21</v>
      </c>
      <c r="N234" s="2">
        <v>44755</v>
      </c>
    </row>
    <row r="235" spans="1:14" x14ac:dyDescent="0.25">
      <c r="A235" s="1" t="s">
        <v>478</v>
      </c>
      <c r="B235" s="1" t="s">
        <v>479</v>
      </c>
      <c r="C235" s="3">
        <v>59990</v>
      </c>
      <c r="D235" s="1" t="s">
        <v>14</v>
      </c>
      <c r="E235">
        <v>2020</v>
      </c>
      <c r="F235" s="1" t="s">
        <v>119</v>
      </c>
      <c r="G235" s="1" t="s">
        <v>41</v>
      </c>
      <c r="H235" s="1" t="s">
        <v>17</v>
      </c>
      <c r="I235" s="1" t="s">
        <v>18</v>
      </c>
      <c r="J235" s="1" t="s">
        <v>19</v>
      </c>
      <c r="K235">
        <v>23549</v>
      </c>
      <c r="L235" s="1" t="s">
        <v>44</v>
      </c>
      <c r="M235" s="1" t="s">
        <v>21</v>
      </c>
      <c r="N235" s="2">
        <v>44755</v>
      </c>
    </row>
    <row r="236" spans="1:14" x14ac:dyDescent="0.25">
      <c r="A236" s="1" t="s">
        <v>480</v>
      </c>
      <c r="B236" s="1" t="s">
        <v>91</v>
      </c>
      <c r="C236" s="3">
        <v>25778</v>
      </c>
      <c r="D236" s="1" t="s">
        <v>14</v>
      </c>
      <c r="E236">
        <v>2020</v>
      </c>
      <c r="F236" s="1" t="s">
        <v>76</v>
      </c>
      <c r="G236" s="1" t="s">
        <v>16</v>
      </c>
      <c r="H236" s="1" t="s">
        <v>17</v>
      </c>
      <c r="I236" s="1" t="s">
        <v>18</v>
      </c>
      <c r="J236" s="1" t="s">
        <v>92</v>
      </c>
      <c r="K236">
        <v>48789</v>
      </c>
      <c r="L236" s="1" t="s">
        <v>52</v>
      </c>
      <c r="M236" s="1" t="s">
        <v>21</v>
      </c>
      <c r="N236" s="2">
        <v>44755</v>
      </c>
    </row>
    <row r="237" spans="1:14" x14ac:dyDescent="0.25">
      <c r="A237" s="1" t="s">
        <v>213</v>
      </c>
      <c r="B237" s="1" t="s">
        <v>23</v>
      </c>
      <c r="C237" s="3">
        <v>33000</v>
      </c>
      <c r="D237" s="1" t="s">
        <v>14</v>
      </c>
      <c r="E237">
        <v>2018</v>
      </c>
      <c r="F237" s="1" t="s">
        <v>24</v>
      </c>
      <c r="G237" s="1" t="s">
        <v>25</v>
      </c>
      <c r="H237" s="1" t="s">
        <v>17</v>
      </c>
      <c r="I237" s="1" t="s">
        <v>18</v>
      </c>
      <c r="J237" s="1" t="s">
        <v>267</v>
      </c>
      <c r="K237">
        <v>91808</v>
      </c>
      <c r="L237" s="1" t="s">
        <v>20</v>
      </c>
      <c r="M237" s="1" t="s">
        <v>21</v>
      </c>
      <c r="N237" s="2">
        <v>44755</v>
      </c>
    </row>
    <row r="238" spans="1:14" x14ac:dyDescent="0.25">
      <c r="A238" s="1" t="s">
        <v>481</v>
      </c>
      <c r="B238" s="1" t="s">
        <v>128</v>
      </c>
      <c r="C238" s="3">
        <v>53339</v>
      </c>
      <c r="D238" s="1" t="s">
        <v>14</v>
      </c>
      <c r="E238">
        <v>2021</v>
      </c>
      <c r="F238" s="1" t="s">
        <v>15</v>
      </c>
      <c r="G238" s="1" t="s">
        <v>16</v>
      </c>
      <c r="H238" s="1" t="s">
        <v>17</v>
      </c>
      <c r="I238" s="1" t="s">
        <v>64</v>
      </c>
      <c r="J238" s="1" t="s">
        <v>19</v>
      </c>
      <c r="K238">
        <v>8843</v>
      </c>
      <c r="L238" s="1" t="s">
        <v>20</v>
      </c>
      <c r="M238" s="1" t="s">
        <v>21</v>
      </c>
      <c r="N238" s="2">
        <v>44755</v>
      </c>
    </row>
    <row r="239" spans="1:14" x14ac:dyDescent="0.25">
      <c r="A239" s="1" t="s">
        <v>482</v>
      </c>
      <c r="B239" s="1" t="s">
        <v>483</v>
      </c>
      <c r="C239" s="3">
        <v>17975</v>
      </c>
      <c r="D239" s="1" t="s">
        <v>14</v>
      </c>
      <c r="E239">
        <v>2014</v>
      </c>
      <c r="F239" s="1" t="s">
        <v>329</v>
      </c>
      <c r="G239" s="1" t="s">
        <v>41</v>
      </c>
      <c r="H239" s="1" t="s">
        <v>17</v>
      </c>
      <c r="I239" s="1" t="s">
        <v>18</v>
      </c>
      <c r="J239" s="1" t="s">
        <v>69</v>
      </c>
      <c r="K239">
        <v>149744</v>
      </c>
      <c r="L239" s="1" t="s">
        <v>52</v>
      </c>
      <c r="M239" s="1" t="s">
        <v>21</v>
      </c>
      <c r="N239" s="2">
        <v>44755</v>
      </c>
    </row>
    <row r="240" spans="1:14" x14ac:dyDescent="0.25">
      <c r="A240" s="1" t="s">
        <v>484</v>
      </c>
      <c r="B240" s="1" t="s">
        <v>485</v>
      </c>
      <c r="C240" s="3">
        <v>30288</v>
      </c>
      <c r="D240" s="1" t="s">
        <v>14</v>
      </c>
      <c r="E240">
        <v>2017</v>
      </c>
      <c r="F240" s="1" t="s">
        <v>35</v>
      </c>
      <c r="G240" s="1" t="s">
        <v>25</v>
      </c>
      <c r="H240" s="1" t="s">
        <v>17</v>
      </c>
      <c r="I240" s="1" t="s">
        <v>18</v>
      </c>
      <c r="J240" s="1" t="s">
        <v>36</v>
      </c>
      <c r="K240">
        <v>65261</v>
      </c>
      <c r="L240" s="1" t="s">
        <v>37</v>
      </c>
      <c r="M240" s="1" t="s">
        <v>21</v>
      </c>
      <c r="N240" s="2">
        <v>44755</v>
      </c>
    </row>
    <row r="241" spans="1:14" x14ac:dyDescent="0.25">
      <c r="A241" s="1" t="s">
        <v>486</v>
      </c>
      <c r="B241" s="1" t="s">
        <v>487</v>
      </c>
      <c r="C241" s="3">
        <v>52950</v>
      </c>
      <c r="D241" s="1" t="s">
        <v>14</v>
      </c>
      <c r="E241">
        <v>2019</v>
      </c>
      <c r="F241" s="1" t="s">
        <v>439</v>
      </c>
      <c r="G241" s="1" t="s">
        <v>290</v>
      </c>
      <c r="H241" s="1" t="s">
        <v>17</v>
      </c>
      <c r="I241" s="1" t="s">
        <v>18</v>
      </c>
      <c r="J241" s="1" t="s">
        <v>51</v>
      </c>
      <c r="K241">
        <v>7703</v>
      </c>
      <c r="L241" s="1" t="s">
        <v>37</v>
      </c>
      <c r="M241" s="1" t="s">
        <v>21</v>
      </c>
      <c r="N241" s="2">
        <v>44755</v>
      </c>
    </row>
    <row r="242" spans="1:14" x14ac:dyDescent="0.25">
      <c r="A242" s="1" t="s">
        <v>488</v>
      </c>
      <c r="B242" s="1" t="s">
        <v>410</v>
      </c>
      <c r="C242" s="3">
        <v>42250</v>
      </c>
      <c r="D242" s="1" t="s">
        <v>14</v>
      </c>
      <c r="E242">
        <v>2017</v>
      </c>
      <c r="F242" s="1" t="s">
        <v>62</v>
      </c>
      <c r="G242" s="1" t="s">
        <v>16</v>
      </c>
      <c r="H242" s="1" t="s">
        <v>17</v>
      </c>
      <c r="I242" s="1" t="s">
        <v>18</v>
      </c>
      <c r="J242" s="1" t="s">
        <v>19</v>
      </c>
      <c r="K242">
        <v>75118</v>
      </c>
      <c r="L242" s="1" t="s">
        <v>44</v>
      </c>
      <c r="M242" s="1" t="s">
        <v>21</v>
      </c>
      <c r="N242" s="2">
        <v>44755</v>
      </c>
    </row>
    <row r="243" spans="1:14" x14ac:dyDescent="0.25">
      <c r="A243" s="1" t="s">
        <v>489</v>
      </c>
      <c r="B243" s="1" t="s">
        <v>364</v>
      </c>
      <c r="C243" s="3">
        <v>26697</v>
      </c>
      <c r="D243" s="1" t="s">
        <v>14</v>
      </c>
      <c r="E243">
        <v>2021</v>
      </c>
      <c r="F243" s="1" t="s">
        <v>298</v>
      </c>
      <c r="G243" s="1" t="s">
        <v>16</v>
      </c>
      <c r="H243" s="1" t="s">
        <v>17</v>
      </c>
      <c r="I243" s="1" t="s">
        <v>18</v>
      </c>
      <c r="J243" s="1" t="s">
        <v>92</v>
      </c>
      <c r="K243">
        <v>47640</v>
      </c>
      <c r="L243" s="1" t="s">
        <v>44</v>
      </c>
      <c r="M243" s="1" t="s">
        <v>21</v>
      </c>
      <c r="N243" s="2">
        <v>44755</v>
      </c>
    </row>
    <row r="244" spans="1:14" x14ac:dyDescent="0.25">
      <c r="A244" s="1" t="s">
        <v>263</v>
      </c>
      <c r="B244" s="1" t="s">
        <v>144</v>
      </c>
      <c r="C244" s="3">
        <v>37329</v>
      </c>
      <c r="D244" s="1" t="s">
        <v>14</v>
      </c>
      <c r="E244">
        <v>2019</v>
      </c>
      <c r="F244" s="1" t="s">
        <v>95</v>
      </c>
      <c r="G244" s="1" t="s">
        <v>16</v>
      </c>
      <c r="H244" s="1" t="s">
        <v>17</v>
      </c>
      <c r="I244" s="1" t="s">
        <v>18</v>
      </c>
      <c r="J244" s="1" t="s">
        <v>69</v>
      </c>
      <c r="K244">
        <v>26119</v>
      </c>
      <c r="L244" s="1" t="s">
        <v>44</v>
      </c>
      <c r="M244" s="1" t="s">
        <v>21</v>
      </c>
      <c r="N244" s="2">
        <v>44755</v>
      </c>
    </row>
    <row r="245" spans="1:14" x14ac:dyDescent="0.25">
      <c r="A245" s="1" t="s">
        <v>490</v>
      </c>
      <c r="B245" s="1" t="s">
        <v>485</v>
      </c>
      <c r="C245" s="3">
        <v>39999</v>
      </c>
      <c r="D245" s="1" t="s">
        <v>14</v>
      </c>
      <c r="E245">
        <v>2021</v>
      </c>
      <c r="F245" s="1" t="s">
        <v>35</v>
      </c>
      <c r="G245" s="1" t="s">
        <v>25</v>
      </c>
      <c r="H245" s="1" t="s">
        <v>17</v>
      </c>
      <c r="I245" s="1" t="s">
        <v>18</v>
      </c>
      <c r="J245" s="1" t="s">
        <v>36</v>
      </c>
      <c r="K245">
        <v>23049</v>
      </c>
      <c r="L245" s="1" t="s">
        <v>37</v>
      </c>
      <c r="M245" s="1" t="s">
        <v>21</v>
      </c>
      <c r="N245" s="2">
        <v>44755</v>
      </c>
    </row>
    <row r="246" spans="1:14" x14ac:dyDescent="0.25">
      <c r="A246" s="1" t="s">
        <v>491</v>
      </c>
      <c r="B246" s="1" t="s">
        <v>238</v>
      </c>
      <c r="C246" s="3">
        <v>29995</v>
      </c>
      <c r="D246" s="1" t="s">
        <v>14</v>
      </c>
      <c r="E246">
        <v>2020</v>
      </c>
      <c r="F246" s="1" t="s">
        <v>187</v>
      </c>
      <c r="G246" s="1" t="s">
        <v>41</v>
      </c>
      <c r="H246" s="1" t="s">
        <v>17</v>
      </c>
      <c r="I246" s="1" t="s">
        <v>18</v>
      </c>
      <c r="J246" s="1" t="s">
        <v>32</v>
      </c>
      <c r="K246">
        <v>17647</v>
      </c>
      <c r="L246" s="1" t="s">
        <v>52</v>
      </c>
      <c r="M246" s="1" t="s">
        <v>21</v>
      </c>
      <c r="N246" s="2">
        <v>44755</v>
      </c>
    </row>
    <row r="247" spans="1:14" x14ac:dyDescent="0.25">
      <c r="A247" s="1" t="s">
        <v>492</v>
      </c>
      <c r="B247" s="1" t="s">
        <v>493</v>
      </c>
      <c r="C247" s="3">
        <v>22699</v>
      </c>
      <c r="D247" s="1" t="s">
        <v>14</v>
      </c>
      <c r="E247">
        <v>2016</v>
      </c>
      <c r="F247" s="1" t="s">
        <v>141</v>
      </c>
      <c r="G247" s="1" t="s">
        <v>16</v>
      </c>
      <c r="H247" s="1" t="s">
        <v>17</v>
      </c>
      <c r="I247" s="1" t="s">
        <v>18</v>
      </c>
      <c r="J247" s="1" t="s">
        <v>51</v>
      </c>
      <c r="K247">
        <v>81481</v>
      </c>
      <c r="L247" s="1" t="s">
        <v>44</v>
      </c>
      <c r="M247" s="1" t="s">
        <v>21</v>
      </c>
      <c r="N247" s="2">
        <v>44755</v>
      </c>
    </row>
    <row r="248" spans="1:14" x14ac:dyDescent="0.25">
      <c r="A248" s="1" t="s">
        <v>494</v>
      </c>
      <c r="B248" s="1" t="s">
        <v>181</v>
      </c>
      <c r="C248" s="3">
        <v>18989</v>
      </c>
      <c r="D248" s="1" t="s">
        <v>14</v>
      </c>
      <c r="E248">
        <v>2016</v>
      </c>
      <c r="F248" s="1" t="s">
        <v>85</v>
      </c>
      <c r="G248" s="1" t="s">
        <v>16</v>
      </c>
      <c r="H248" s="1" t="s">
        <v>17</v>
      </c>
      <c r="I248" s="1" t="s">
        <v>18</v>
      </c>
      <c r="J248" s="1" t="s">
        <v>51</v>
      </c>
      <c r="K248">
        <v>91850</v>
      </c>
      <c r="L248" s="1" t="s">
        <v>44</v>
      </c>
      <c r="M248" s="1" t="s">
        <v>21</v>
      </c>
      <c r="N248" s="2">
        <v>44755</v>
      </c>
    </row>
    <row r="249" spans="1:14" x14ac:dyDescent="0.25">
      <c r="A249" s="1" t="s">
        <v>495</v>
      </c>
      <c r="B249" s="1" t="s">
        <v>496</v>
      </c>
      <c r="C249" s="3">
        <v>42998</v>
      </c>
      <c r="D249" s="1" t="s">
        <v>14</v>
      </c>
      <c r="E249">
        <v>2022</v>
      </c>
      <c r="F249" s="1" t="s">
        <v>72</v>
      </c>
      <c r="G249" s="1" t="s">
        <v>16</v>
      </c>
      <c r="H249" s="1" t="s">
        <v>17</v>
      </c>
      <c r="I249" s="1" t="s">
        <v>18</v>
      </c>
      <c r="J249" s="1" t="s">
        <v>299</v>
      </c>
      <c r="K249">
        <v>907</v>
      </c>
      <c r="L249" s="1" t="s">
        <v>52</v>
      </c>
      <c r="M249" s="1" t="s">
        <v>21</v>
      </c>
      <c r="N249" s="2">
        <v>44755</v>
      </c>
    </row>
    <row r="250" spans="1:14" x14ac:dyDescent="0.25">
      <c r="A250" s="1" t="s">
        <v>497</v>
      </c>
      <c r="B250" s="1" t="s">
        <v>107</v>
      </c>
      <c r="C250" s="3">
        <v>14000</v>
      </c>
      <c r="D250" s="1" t="s">
        <v>14</v>
      </c>
      <c r="E250">
        <v>2012</v>
      </c>
      <c r="F250" s="1" t="s">
        <v>35</v>
      </c>
      <c r="G250" s="1" t="s">
        <v>41</v>
      </c>
      <c r="H250" s="1" t="s">
        <v>17</v>
      </c>
      <c r="I250" s="1" t="s">
        <v>18</v>
      </c>
      <c r="J250" s="1" t="s">
        <v>92</v>
      </c>
      <c r="K250">
        <v>129736</v>
      </c>
      <c r="L250" s="1" t="s">
        <v>52</v>
      </c>
      <c r="M250" s="1" t="s">
        <v>21</v>
      </c>
      <c r="N250" s="2">
        <v>44755</v>
      </c>
    </row>
    <row r="251" spans="1:14" x14ac:dyDescent="0.25">
      <c r="A251" s="1" t="s">
        <v>498</v>
      </c>
      <c r="B251" s="1" t="s">
        <v>499</v>
      </c>
      <c r="C251" s="3">
        <v>29500</v>
      </c>
      <c r="D251" s="1" t="s">
        <v>14</v>
      </c>
      <c r="E251">
        <v>2021</v>
      </c>
      <c r="F251" s="1" t="s">
        <v>110</v>
      </c>
      <c r="G251" s="1" t="s">
        <v>16</v>
      </c>
      <c r="H251" s="1" t="s">
        <v>17</v>
      </c>
      <c r="I251" s="1" t="s">
        <v>18</v>
      </c>
      <c r="J251" s="1" t="s">
        <v>500</v>
      </c>
      <c r="K251">
        <v>10859</v>
      </c>
      <c r="L251" s="1" t="s">
        <v>44</v>
      </c>
      <c r="M251" s="1" t="s">
        <v>21</v>
      </c>
      <c r="N251" s="2">
        <v>44755</v>
      </c>
    </row>
    <row r="252" spans="1:14" x14ac:dyDescent="0.25">
      <c r="A252" s="1" t="s">
        <v>501</v>
      </c>
      <c r="B252" s="1" t="s">
        <v>502</v>
      </c>
      <c r="C252" s="3">
        <v>42995</v>
      </c>
      <c r="D252" s="1" t="s">
        <v>14</v>
      </c>
      <c r="E252">
        <v>2018</v>
      </c>
      <c r="F252" s="1" t="s">
        <v>29</v>
      </c>
      <c r="G252" s="1" t="s">
        <v>175</v>
      </c>
      <c r="H252" s="1" t="s">
        <v>17</v>
      </c>
      <c r="I252" s="1" t="s">
        <v>18</v>
      </c>
      <c r="J252" s="1" t="s">
        <v>19</v>
      </c>
      <c r="K252">
        <v>19715</v>
      </c>
      <c r="L252" s="1" t="s">
        <v>52</v>
      </c>
      <c r="M252" s="1" t="s">
        <v>21</v>
      </c>
      <c r="N252" s="2">
        <v>44755</v>
      </c>
    </row>
    <row r="253" spans="1:14" x14ac:dyDescent="0.25">
      <c r="A253" s="1" t="s">
        <v>503</v>
      </c>
      <c r="B253" s="1" t="s">
        <v>280</v>
      </c>
      <c r="C253" s="3">
        <v>26800</v>
      </c>
      <c r="D253" s="1" t="s">
        <v>14</v>
      </c>
      <c r="E253">
        <v>2015</v>
      </c>
      <c r="F253" s="1" t="s">
        <v>24</v>
      </c>
      <c r="G253" s="1" t="s">
        <v>16</v>
      </c>
      <c r="H253" s="1" t="s">
        <v>17</v>
      </c>
      <c r="I253" s="1" t="s">
        <v>18</v>
      </c>
      <c r="J253" s="1" t="s">
        <v>46</v>
      </c>
      <c r="K253">
        <v>63882</v>
      </c>
      <c r="L253" s="1" t="s">
        <v>20</v>
      </c>
      <c r="M253" s="1" t="s">
        <v>21</v>
      </c>
      <c r="N253" s="2">
        <v>44755</v>
      </c>
    </row>
    <row r="254" spans="1:14" x14ac:dyDescent="0.25">
      <c r="A254" s="1" t="s">
        <v>447</v>
      </c>
      <c r="B254" s="1" t="s">
        <v>23</v>
      </c>
      <c r="C254" s="3">
        <v>43998</v>
      </c>
      <c r="D254" s="1" t="s">
        <v>14</v>
      </c>
      <c r="E254">
        <v>2019</v>
      </c>
      <c r="F254" s="1" t="s">
        <v>24</v>
      </c>
      <c r="G254" s="1" t="s">
        <v>25</v>
      </c>
      <c r="H254" s="1" t="s">
        <v>17</v>
      </c>
      <c r="I254" s="1" t="s">
        <v>18</v>
      </c>
      <c r="J254" s="1" t="s">
        <v>267</v>
      </c>
      <c r="K254">
        <v>18390</v>
      </c>
      <c r="L254" s="1" t="s">
        <v>20</v>
      </c>
      <c r="M254" s="1" t="s">
        <v>21</v>
      </c>
      <c r="N254" s="2">
        <v>44755</v>
      </c>
    </row>
    <row r="255" spans="1:14" x14ac:dyDescent="0.25">
      <c r="A255" s="1" t="s">
        <v>504</v>
      </c>
      <c r="B255" s="1" t="s">
        <v>134</v>
      </c>
      <c r="C255" s="3">
        <v>25913</v>
      </c>
      <c r="D255" s="1" t="s">
        <v>14</v>
      </c>
      <c r="E255">
        <v>2017</v>
      </c>
      <c r="F255" s="1" t="s">
        <v>24</v>
      </c>
      <c r="G255" s="1" t="s">
        <v>16</v>
      </c>
      <c r="H255" s="1" t="s">
        <v>17</v>
      </c>
      <c r="I255" s="1" t="s">
        <v>18</v>
      </c>
      <c r="J255" s="1" t="s">
        <v>46</v>
      </c>
      <c r="K255">
        <v>50322</v>
      </c>
      <c r="L255" s="1" t="s">
        <v>44</v>
      </c>
      <c r="M255" s="1" t="s">
        <v>21</v>
      </c>
      <c r="N255" s="2">
        <v>44755</v>
      </c>
    </row>
    <row r="256" spans="1:14" x14ac:dyDescent="0.25">
      <c r="A256" s="1" t="s">
        <v>505</v>
      </c>
      <c r="B256" s="1" t="s">
        <v>28</v>
      </c>
      <c r="C256" s="3">
        <v>34900</v>
      </c>
      <c r="D256" s="1" t="s">
        <v>14</v>
      </c>
      <c r="E256">
        <v>2020</v>
      </c>
      <c r="F256" s="1" t="s">
        <v>29</v>
      </c>
      <c r="G256" s="1" t="s">
        <v>25</v>
      </c>
      <c r="H256" s="1" t="s">
        <v>17</v>
      </c>
      <c r="I256" s="1" t="s">
        <v>18</v>
      </c>
      <c r="J256" s="1" t="s">
        <v>36</v>
      </c>
      <c r="K256">
        <v>49670</v>
      </c>
      <c r="L256" s="1" t="s">
        <v>20</v>
      </c>
      <c r="M256" s="1" t="s">
        <v>21</v>
      </c>
      <c r="N256" s="2">
        <v>44755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931DEC-C80B-4790-9F25-AA038417A3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Calculations</vt:lpstr>
      <vt:lpstr>Dashboard</vt:lpstr>
      <vt:lpstr>used_cars_data_from_truecar_usa</vt:lpstr>
      <vt:lpstr>avgprice</vt:lpstr>
      <vt:lpstr>km</vt:lpstr>
      <vt:lpstr>pricesum</vt:lpstr>
      <vt:lpstr>totalunit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AMINU IBRAHIM</dc:creator>
  <cp:lastModifiedBy>AMINU IBRAHIM</cp:lastModifiedBy>
  <dcterms:created xsi:type="dcterms:W3CDTF">2025-11-12T20:52:12Z</dcterms:created>
  <dcterms:modified xsi:type="dcterms:W3CDTF">2025-11-12T20:52:26Z</dcterms:modified>
</cp:coreProperties>
</file>